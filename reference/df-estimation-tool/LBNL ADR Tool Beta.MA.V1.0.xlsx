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to DR Tool" sheetId="1" r:id="rId4"/>
    <sheet state="visible" name="User Inputs and DR Shed Results" sheetId="2" r:id="rId5"/>
    <sheet state="visible" name="Option-2 VAV GTA, SP Reset (AHU" sheetId="3" r:id="rId6"/>
    <sheet state="visible" name="Category Lists" sheetId="4" r:id="rId7"/>
    <sheet state="visible" name="LoadShed Database" sheetId="5" r:id="rId8"/>
    <sheet state="visible" name="Climate Zones" sheetId="6" r:id="rId9"/>
    <sheet state="visible" name="Cycle Calculation" sheetId="7" r:id="rId10"/>
    <sheet state="visible" name="GTA Calculation" sheetId="8" r:id="rId11"/>
    <sheet state="visible" name="shed_database" sheetId="9" r:id="rId12"/>
  </sheets>
  <definedNames>
    <definedName name="CECCZ">'User Inputs and DR Shed Results'!#REF!</definedName>
    <definedName name="CEUSLargeOffice">'Climate Zones'!#REF!</definedName>
    <definedName name="CEUSRetail">'Climate Zones'!#REF!</definedName>
    <definedName name="CEUSSmallOffice">'Climate Zones'!#REF!</definedName>
    <definedName name="CompressorOnly">'User Inputs and DR Shed Results'!#REF!</definedName>
    <definedName name="CycleAvailPerc">'User Inputs and DR Shed Results'!#REF!</definedName>
    <definedName name="CZ12CycleOnOff">'LoadShed Database'!#REF!</definedName>
    <definedName name="CZ12TempReset">'LoadShed Database'!#REF!</definedName>
    <definedName name="CZ13CycleOnOff">'LoadShed Database'!#REF!</definedName>
    <definedName name="CZ13TempReset">'LoadShed Database'!#REF!</definedName>
    <definedName name="DutyCycleMinutes">'User Inputs and DR Shed Results'!#REF!</definedName>
    <definedName name="HvacDR">'User Inputs and DR Shed Results'!#REF!</definedName>
    <definedName name="LargeOffice">'Climate Zones'!#REF!</definedName>
    <definedName name="Retail">'Climate Zones'!#REF!</definedName>
    <definedName name="SelectedEquations">'Cycle Calculation'!#REF!</definedName>
    <definedName name="SmallOffice">'Climate Zones'!#REF!</definedName>
    <definedName name="NamedRange1">'LoadShed Database'!$A$3:$P$85</definedName>
    <definedName name="CZ04TempReset">#REF!</definedName>
    <definedName name="BuildingType">'User Inputs and DR Shed Results'!$B$5</definedName>
    <definedName name="HOUSchoolTempReset">#REF!</definedName>
    <definedName name="CZ03CycleOnOff">'LoadShed Database'!$A$87:$J$106</definedName>
    <definedName name="AvailPerc">'User Inputs and DR Shed Results'!$B$26</definedName>
    <definedName name="TempResetDegrees">'User Inputs and DR Shed Results'!$B$28</definedName>
    <definedName name="GTALoadShed">'LoadShed Database'!$A$3:$P$85</definedName>
    <definedName name="HvacDRTYPE">'Category Lists'!$N$4:$N$5</definedName>
    <definedName name="CITYCZ">'User Inputs and DR Shed Results'!$B$14</definedName>
    <definedName name="BuildingVintage">'User Inputs and DR Shed Results'!$B$6</definedName>
    <definedName name="CZ03TempReset">'LoadShed Database'!$A$2:$J$85</definedName>
    <definedName name="NewCustomer">'User Inputs and DR Shed Results'!$B$9</definedName>
    <definedName name="PGECZ">'User Inputs and DR Shed Results'!$B$13</definedName>
    <definedName name="TempReset">shed_database!$B$2:$P$139</definedName>
    <definedName name="CZ04CycleOnOff">#REF!</definedName>
    <definedName name="ASHRAECZ">'User Inputs and DR Shed Results'!$B$13</definedName>
    <definedName name="PrecoolDegrees">'User Inputs and DR Shed Results'!$B$27</definedName>
    <definedName name="SASchoolTempReset">#REF!</definedName>
  </definedNames>
  <calcPr/>
  <extLst>
    <ext uri="GoogleSheetsCustomDataVersion2">
      <go:sheetsCustomData xmlns:go="http://customooxmlschemas.google.com/" r:id="rId13" roundtripDataChecksum="SlQ/0uCRDWegIsOePJLO6yytWWCxV0NxJIrOkJ30/N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4">
      <text>
        <t xml:space="preserve">======
ID#AAAA0mUFeK8
Rongxin Yin    (2023-06-29 21:57:44)
Customer inputs of demand response control sequences. Need to be separated from other inputs. @ClaraYin@lbl.gov
_Assigned to _</t>
      </text>
    </comment>
  </commentList>
  <extLst>
    <ext uri="GoogleSheetsCustomDataVersion2">
      <go:sheetsCustomData xmlns:go="http://customooxmlschemas.google.com/" r:id="rId1" roundtripDataSignature="AMtx7mjmsKMB//X+rBoKHiS2PVIu+LlaG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
ID#AAAA0K6VdhU
Rongxin Yin    (2023-06-30 18:16:21)
only for California microclimate.</t>
      </text>
    </comment>
  </commentList>
  <extLst>
    <ext uri="GoogleSheetsCustomDataVersion2">
      <go:sheetsCustomData xmlns:go="http://customooxmlschemas.google.com/" r:id="rId1" roundtripDataSignature="AMtx7mjyQkmi09S2J6dyK/EdN9qHS7yIog=="/>
    </ext>
  </extLst>
</comments>
</file>

<file path=xl/sharedStrings.xml><?xml version="1.0" encoding="utf-8"?>
<sst xmlns="http://schemas.openxmlformats.org/spreadsheetml/2006/main" count="2576" uniqueCount="299">
  <si>
    <t>ADR Estimation Tool Framework</t>
  </si>
  <si>
    <t>Instructions for LBNL ADR Tool V1.0:</t>
  </si>
  <si>
    <t xml:space="preserve">This tool provides DR shed magnitudes for a range of OATs for one of the major DR strategies: 1) HVAC Temp Reset (Precool with Zone Temp Setback). </t>
  </si>
  <si>
    <t>Step 1: Copy 15-min electricity meter data into the "IDAR Meter Data" sheet.  First column is date and time in format "MM/DD/YYYY HH:MM". Second column is meter demand in units of kW in any number format.</t>
  </si>
  <si>
    <t>Step 2: In the "User Inputs and DR Shed Results" sheet's "ADR Site Description" block: 1. Enter the site name (if desired), 2. Select building type--Office or Retail, 3. Select HVAC type--Rooftop unit(s) or Central Plant and 4. Enter the site's zip code.</t>
  </si>
  <si>
    <t>Step 3:If HVAC temp reset is strategy of intereset, in the "User Inputs and DR Shed Results" sheet's "HVAC Temp Reset DR Shed Capacity Calculation": 1. Enter the percent of the floor area of the building for which the HVAC temp reset will be applied (0-100), 2. Select the "Precool Period Temp Offset"; either 0 or -2 °F, and 3. Select the "DR Event Period Temp Offset", either 2, 4, or 6 °F.</t>
  </si>
  <si>
    <t>Estimated kW sheds are calculated in tables and figures in "User Inputs and DR Shed Results".</t>
  </si>
  <si>
    <r>
      <rPr>
        <rFont val="Calibri"/>
        <color theme="1"/>
        <sz val="12.0"/>
      </rPr>
      <t>Temperature ranges shown in HVAC Temp Reset DR Shed Estimates (kW) are Peak Outside Air Temperatures on weekdays in the following ranges: 1 (60-</t>
    </r>
    <r>
      <rPr>
        <rFont val="Calibri"/>
        <color theme="1"/>
        <sz val="12.0"/>
      </rPr>
      <t>65°F</t>
    </r>
    <r>
      <rPr>
        <rFont val="Calibri"/>
        <color theme="1"/>
        <sz val="12.0"/>
      </rPr>
      <t>), 2 (65-70°F),  3 (70-75°F),  4 (75-80°F),  5 (80-85°F),  6 (85-90°F),  and 7 (Above 90°F).</t>
    </r>
  </si>
  <si>
    <t>Note: Only weekdays are selected for DR shed calculations. Weekends, holidays and ADR days in 2018 (if customer has enrolled into 2015 ADR programs) are excluded.</t>
  </si>
  <si>
    <t>User Inputs</t>
  </si>
  <si>
    <t>ADR Site Description</t>
  </si>
  <si>
    <t>Data</t>
  </si>
  <si>
    <t>Note</t>
  </si>
  <si>
    <t>Name</t>
  </si>
  <si>
    <t>Example</t>
  </si>
  <si>
    <t>Building Type</t>
  </si>
  <si>
    <t>Office</t>
  </si>
  <si>
    <t>Building Vintage</t>
  </si>
  <si>
    <t>Post1980</t>
  </si>
  <si>
    <t>HVAC Type</t>
  </si>
  <si>
    <t>Rooftop Unit</t>
  </si>
  <si>
    <t>RTU Duty Cycling is also available for HVAC Type " Rooftop Unit".</t>
  </si>
  <si>
    <t>Zipcode</t>
  </si>
  <si>
    <t>NewCustomers</t>
  </si>
  <si>
    <t>Yes</t>
  </si>
  <si>
    <t>Peak Demand (kW)</t>
  </si>
  <si>
    <t>Input from User</t>
  </si>
  <si>
    <t>County</t>
  </si>
  <si>
    <t>ASHRAE Climate Zone</t>
  </si>
  <si>
    <t>City Zone</t>
  </si>
  <si>
    <t>Building Type and Size</t>
  </si>
  <si>
    <t>User Input of OAT and kW during the DR Event Hours</t>
  </si>
  <si>
    <t>Hours</t>
  </si>
  <si>
    <t>OAT (F)</t>
  </si>
  <si>
    <t>Meter kW</t>
  </si>
  <si>
    <t>DR Shed Results of HVAC Temperature Setpoint Reset</t>
  </si>
  <si>
    <t>HVAC Temp Reset DR Shed Capacity Calculation</t>
  </si>
  <si>
    <t>Percent of Bldg Floor Area that Temp Reset will Apply (0-100)</t>
  </si>
  <si>
    <t>Precool Period Temp Offset (°F)</t>
  </si>
  <si>
    <t>DR Event Period Temp Offset (°F)</t>
  </si>
  <si>
    <t>Average DR Potential (kW)</t>
  </si>
  <si>
    <t>Min DR Potential (kW)</t>
  </si>
  <si>
    <t>Max DR Potential (kW)</t>
  </si>
  <si>
    <t>Estimated kW Shed during the DR Event Hours</t>
  </si>
  <si>
    <t>Estimated kW Shed</t>
  </si>
  <si>
    <t>Estimated DR%</t>
  </si>
  <si>
    <t>Estimated DR_W/ft2</t>
  </si>
  <si>
    <t>DR strategy: VAV Global Temperature Adjustment and Static Pressure Reset</t>
  </si>
  <si>
    <t>Space Temperatures at 50% RH</t>
  </si>
  <si>
    <t>Air Density (lbm/ft^3)</t>
  </si>
  <si>
    <t>Enthalpy (btu/lbm)</t>
  </si>
  <si>
    <t>user inputs</t>
  </si>
  <si>
    <t>post-inputs</t>
  </si>
  <si>
    <t>default input</t>
  </si>
  <si>
    <t>NO change</t>
  </si>
  <si>
    <t>Data Collection Table</t>
  </si>
  <si>
    <t>Typical Centrifugal Fan Efficiencies</t>
  </si>
  <si>
    <t>Field data needed (from audit)</t>
  </si>
  <si>
    <t>Data Sources</t>
  </si>
  <si>
    <t>Fan Type</t>
  </si>
  <si>
    <t>Small</t>
  </si>
  <si>
    <t>Large</t>
  </si>
  <si>
    <t>AHU Max Airflow (CFM)</t>
  </si>
  <si>
    <t>Blueprint, on site engineer, facility manager</t>
  </si>
  <si>
    <t>Forward curved</t>
  </si>
  <si>
    <t>Supply Fan Motor HP</t>
  </si>
  <si>
    <t>Nameplate</t>
  </si>
  <si>
    <t>Backward curve or air-foil</t>
  </si>
  <si>
    <t>Total SF Static Pressure (in H2O)</t>
  </si>
  <si>
    <t>External Static Pressure (in H2O)</t>
  </si>
  <si>
    <t>Reset Static Pressure Value (in H2O)</t>
  </si>
  <si>
    <t>Fan Efficiency</t>
  </si>
  <si>
    <t>Fan specification, table to the right</t>
  </si>
  <si>
    <t>Motor Efficiency</t>
  </si>
  <si>
    <t>Nameplate or EPAct Tables</t>
  </si>
  <si>
    <t>Packaged AC Unit Tons</t>
  </si>
  <si>
    <t>Cooling coil leaving air temperature (F)</t>
  </si>
  <si>
    <t>Design blueprint</t>
  </si>
  <si>
    <t>CFM</t>
  </si>
  <si>
    <t>Motor Hp</t>
  </si>
  <si>
    <t>Motor Eff.</t>
  </si>
  <si>
    <t>Sensible Space Tons</t>
  </si>
  <si>
    <t>Total Space Tons</t>
  </si>
  <si>
    <t>OA min</t>
  </si>
  <si>
    <t>Normal space temp setting (F)</t>
  </si>
  <si>
    <t>On-site engineer or facility manager</t>
  </si>
  <si>
    <t>RTU-1</t>
  </si>
  <si>
    <t>Reset space temp setting (F)</t>
  </si>
  <si>
    <t>RTU-2</t>
  </si>
  <si>
    <t>% reduction per degree</t>
  </si>
  <si>
    <t>A "given" that is empirically derived</t>
  </si>
  <si>
    <t>Total</t>
  </si>
  <si>
    <t>AC Unit Total Capacity (tons)</t>
  </si>
  <si>
    <t>AC efficiency (kW/ton)</t>
  </si>
  <si>
    <t>AC load factor (CSSB)</t>
  </si>
  <si>
    <t>Plant operator, Interval data</t>
  </si>
  <si>
    <t>Packaged AC Unit Efficiency</t>
  </si>
  <si>
    <t>Air system minimum OSA (%)</t>
  </si>
  <si>
    <t>Comp RLA</t>
  </si>
  <si>
    <t>Fan FLA</t>
  </si>
  <si>
    <t>Tons</t>
  </si>
  <si>
    <t>Comp kW</t>
  </si>
  <si>
    <t>Cond kW</t>
  </si>
  <si>
    <t>kW/Ton</t>
  </si>
  <si>
    <t>% Return Air</t>
  </si>
  <si>
    <t>Calculated: 100% - % OSA</t>
  </si>
  <si>
    <t>Additional Field Data</t>
  </si>
  <si>
    <t>Size of conditioned space (sq ft)</t>
  </si>
  <si>
    <t>Blueprints, Google Maps, Facility Personnel</t>
  </si>
  <si>
    <t>Height of conditioned space (ft)</t>
  </si>
  <si>
    <t>Blueprints, Facility Personnel</t>
  </si>
  <si>
    <t>Air Density @ 72 F, 50% RH</t>
  </si>
  <si>
    <t>Psychrometric chart, lbm/ft3</t>
  </si>
  <si>
    <t>Enthalpy @ 72 F, 50% RH</t>
  </si>
  <si>
    <t>Psychrometric chart, Btu/lbm</t>
  </si>
  <si>
    <t>Density @ 76 F, 50% RH</t>
  </si>
  <si>
    <t>Enthalpy @76 F, 50% RH</t>
  </si>
  <si>
    <t>Calculate Reduced CFM</t>
  </si>
  <si>
    <t xml:space="preserve">Btuh for Normal Space Temp = </t>
  </si>
  <si>
    <t>CFM x Delta-T x 1.08</t>
  </si>
  <si>
    <t xml:space="preserve">Normal State: Btuh for Normal Space Temp (72F) = </t>
  </si>
  <si>
    <t xml:space="preserve">CFM for Reset Space Temp = </t>
  </si>
  <si>
    <t>Btuh / (Delta-T x 1.08)</t>
  </si>
  <si>
    <t>CFM Reduction from Space Temp Adjust</t>
  </si>
  <si>
    <t>Calculate Reduced kW from CFM Reduction (SP handled next)</t>
  </si>
  <si>
    <t xml:space="preserve">Air Power kW = </t>
  </si>
  <si>
    <r>
      <rPr>
        <rFont val="Calibri, Arial"/>
        <b/>
        <i/>
        <color rgb="FF0000FF"/>
        <sz val="11.0"/>
      </rPr>
      <t>CFM</t>
    </r>
    <r>
      <rPr>
        <rFont val="Calibri"/>
        <b val="0"/>
        <i val="0"/>
        <color theme="1"/>
        <sz val="11.0"/>
      </rPr>
      <t xml:space="preserve"> x SP x 0.747</t>
    </r>
  </si>
  <si>
    <t>6,356 x Fan Eff. x Motor Eff.</t>
  </si>
  <si>
    <t>Baseline Airflow Demand</t>
  </si>
  <si>
    <t>kW</t>
  </si>
  <si>
    <t>DR Event Airflow Demand</t>
  </si>
  <si>
    <t>DR Event Airflow Demand Reduction</t>
  </si>
  <si>
    <t>Calculate Reduced kW from SP Reduction (at new CFM)</t>
  </si>
  <si>
    <t xml:space="preserve">air power kW = </t>
  </si>
  <si>
    <r>
      <rPr>
        <rFont val="Calibri, Arial"/>
        <color rgb="FF000000"/>
        <sz val="11.0"/>
      </rPr>
      <t xml:space="preserve">CFM x </t>
    </r>
    <r>
      <rPr>
        <rFont val="Calibri"/>
        <b/>
        <i/>
        <color rgb="FF0000FF"/>
        <sz val="11.0"/>
      </rPr>
      <t>SP</t>
    </r>
    <r>
      <rPr>
        <rFont val="Calibri"/>
        <color theme="1"/>
        <sz val="11.0"/>
      </rPr>
      <t xml:space="preserve"> x 0.747</t>
    </r>
  </si>
  <si>
    <t>DR Event SP Demand</t>
  </si>
  <si>
    <t>DR Event SP Demand Reduction</t>
  </si>
  <si>
    <t>Note: Result is DR Event Airflow Demand - DR Event SP Demand</t>
  </si>
  <si>
    <t>Calculate Reduced kW from CFM and SP Reduction</t>
  </si>
  <si>
    <t>DR Event CFM and SP Demand Reduction</t>
  </si>
  <si>
    <t>Note: Result is DR Event Airflow Demand Reduction + DR Event SP Demand Reduction</t>
  </si>
  <si>
    <t>Calculate Interactive DR kW Due to Reducing Fan kW</t>
  </si>
  <si>
    <t xml:space="preserve">Chiller Capacity Offset by Fan Reduction = </t>
  </si>
  <si>
    <t>CFM and SP kW x 3,413 x RA %</t>
  </si>
  <si>
    <t>Chiller Capacity Offset by DR Event</t>
  </si>
  <si>
    <t>tons</t>
  </si>
  <si>
    <t xml:space="preserve">DR Event Interactive Fan kW Reduction = </t>
  </si>
  <si>
    <t>Chiller Capacity Offset by DR Event x Chiller Efficiency</t>
  </si>
  <si>
    <t>DR Event Interactive Fan kW Reduction</t>
  </si>
  <si>
    <t>Calculate Chiller Direct Reduction</t>
  </si>
  <si>
    <t>Chiller Load is reduced as with any GTA measure</t>
  </si>
  <si>
    <t xml:space="preserve">Baseline Chiller Power = </t>
  </si>
  <si>
    <t>Chiller kW x Chiller Efficiency x Chiller Load Factor (CSSB)</t>
  </si>
  <si>
    <t>Baseline Chiller Power</t>
  </si>
  <si>
    <t xml:space="preserve">DR Chiller Power = </t>
  </si>
  <si>
    <t>Baseline Chiller kW x temperature increase x % reduction per degree</t>
  </si>
  <si>
    <t>DR Chiller Power</t>
  </si>
  <si>
    <t xml:space="preserve">Chiller Power Reduction = </t>
  </si>
  <si>
    <t>Baseline Chiller Power - DR Chiller Power</t>
  </si>
  <si>
    <t>Chiller Power Reduction</t>
  </si>
  <si>
    <t>Total Direct Load Reduction</t>
  </si>
  <si>
    <t xml:space="preserve">Direct DR Event kW Reduction = </t>
  </si>
  <si>
    <t>DR Event CFM, SP, and Chiller kW Reductions Summed</t>
  </si>
  <si>
    <t>DR Event Direct kW Reduction</t>
  </si>
  <si>
    <t>The Enthalpy Coast</t>
  </si>
  <si>
    <t>BTU in pre-condition</t>
  </si>
  <si>
    <t>BTU</t>
  </si>
  <si>
    <t>BTU in post condition</t>
  </si>
  <si>
    <t>Difference in BTU</t>
  </si>
  <si>
    <t>Enter1 for normal coast and 2 if the coast can be caried through the second hour, or doubled</t>
  </si>
  <si>
    <t>Coast DR Power Reduction</t>
  </si>
  <si>
    <t>Note:  Since the reduction applies to the first hour and the calculation applies to complete hours and not partial hours, the fact that the result is kWh and not kW is not important since the two are the same for a unit of one hour.</t>
  </si>
  <si>
    <r>
      <rPr>
        <rFont val="Arial"/>
        <i/>
        <color theme="1"/>
        <sz val="11.0"/>
      </rPr>
      <t xml:space="preserve">Freeware Psychrometric Calculator can be downloaded from </t>
    </r>
    <r>
      <rPr>
        <rFont val="Calibri"/>
        <i/>
        <color rgb="FF0066CC"/>
        <sz val="11.0"/>
      </rPr>
      <t>http://www.gpengineeringsoft.com/pages/pdtpsychrocalc.html</t>
    </r>
  </si>
  <si>
    <t>Total 2-Hour Load Reduction</t>
  </si>
  <si>
    <t>Total DR Load Reduction = (2 * Direct DR Event kW Reduction + Coast DR Power Reduction) / 2</t>
  </si>
  <si>
    <t>Total DR Load Reduction</t>
  </si>
  <si>
    <t>Facility Type</t>
  </si>
  <si>
    <t>Dim %</t>
  </si>
  <si>
    <t>Y/N</t>
  </si>
  <si>
    <t>Precool °F</t>
  </si>
  <si>
    <t>Reset °F</t>
  </si>
  <si>
    <t>Duty Cycle</t>
  </si>
  <si>
    <t>HVAC DR Type</t>
  </si>
  <si>
    <t>PreviousDR</t>
  </si>
  <si>
    <t>OFF</t>
  </si>
  <si>
    <t>HVAC Temp Reset</t>
  </si>
  <si>
    <t>Pre1980</t>
  </si>
  <si>
    <t>Retail</t>
  </si>
  <si>
    <t>RETL</t>
  </si>
  <si>
    <t>No</t>
  </si>
  <si>
    <t>Massachusetts - ASHRAE - 5A</t>
  </si>
  <si>
    <t>SmallOffice</t>
  </si>
  <si>
    <t>MA</t>
  </si>
  <si>
    <t>OAT&lt;=75°F</t>
  </si>
  <si>
    <t>75°F&lt;=OAT&lt;95°F</t>
  </si>
  <si>
    <t>OAT&gt;=95°F</t>
  </si>
  <si>
    <t>Case ID</t>
  </si>
  <si>
    <t>Precool (°F)</t>
  </si>
  <si>
    <t>Temp Reset (°F)</t>
  </si>
  <si>
    <t>DR Event Hour (2PM to 6PM)</t>
  </si>
  <si>
    <t>Equation_Slope</t>
  </si>
  <si>
    <t>Equation_Intercept</t>
  </si>
  <si>
    <t>MediumOffice</t>
  </si>
  <si>
    <t>DR Event Hour</t>
  </si>
  <si>
    <t>CZ03</t>
  </si>
  <si>
    <t>Duty Cycle (minutes off/hr)</t>
  </si>
  <si>
    <t>CompressorOnly</t>
  </si>
  <si>
    <t>Cycle</t>
  </si>
  <si>
    <t>ZIP</t>
  </si>
  <si>
    <t>COUNTY_NAME</t>
  </si>
  <si>
    <t>ASHRAE_ZONE</t>
  </si>
  <si>
    <t>COUNTY</t>
  </si>
  <si>
    <t>CZ_ZONE</t>
  </si>
  <si>
    <t>PLYMOUTH</t>
  </si>
  <si>
    <t>5A</t>
  </si>
  <si>
    <t>n/a</t>
  </si>
  <si>
    <t>MIDDLESEX</t>
  </si>
  <si>
    <t>BRISTOL</t>
  </si>
  <si>
    <t>BERKSHIRE</t>
  </si>
  <si>
    <t>HAMPDEN</t>
  </si>
  <si>
    <t>SUFFOLK</t>
  </si>
  <si>
    <t>ESSEX</t>
  </si>
  <si>
    <t>HAMPSHIRE</t>
  </si>
  <si>
    <t>WORCESTER</t>
  </si>
  <si>
    <t>FRANKLIN</t>
  </si>
  <si>
    <t>NORFOLK</t>
  </si>
  <si>
    <t>BARNSTABLE</t>
  </si>
  <si>
    <t>DUKES</t>
  </si>
  <si>
    <t>NANTUCKET</t>
  </si>
  <si>
    <t>Date</t>
  </si>
  <si>
    <t>TempRange</t>
  </si>
  <si>
    <t>hour</t>
  </si>
  <si>
    <t>power</t>
  </si>
  <si>
    <t>oat</t>
  </si>
  <si>
    <t>range</t>
  </si>
  <si>
    <t>DR%</t>
  </si>
  <si>
    <t>DR (kW)</t>
  </si>
  <si>
    <t>measureId</t>
  </si>
  <si>
    <t>slope1_pct</t>
  </si>
  <si>
    <t>intercept1_pct</t>
  </si>
  <si>
    <t>slope2_pct</t>
  </si>
  <si>
    <t>intercept2_pct</t>
  </si>
  <si>
    <t>slope1_W_ft2</t>
  </si>
  <si>
    <t>intercept1_W_ft2</t>
  </si>
  <si>
    <t>slope2_W_ft2</t>
  </si>
  <si>
    <t>intercept2_W_ft2</t>
  </si>
  <si>
    <t>DR_W/ft2</t>
  </si>
  <si>
    <t>measureId2</t>
  </si>
  <si>
    <t>baseTstat</t>
  </si>
  <si>
    <t>startTime</t>
  </si>
  <si>
    <t>endTime</t>
  </si>
  <si>
    <t>precool</t>
  </si>
  <si>
    <t>reset</t>
  </si>
  <si>
    <t>SmallOffice_Pre1980_2A_74_16_19_0_0</t>
  </si>
  <si>
    <t>SmallOffice_Pre1980_2A_74_16_19_0_2</t>
  </si>
  <si>
    <t>SmallOffice_Pre1980_2A_74_16_19_0_4</t>
  </si>
  <si>
    <t>SmallOffice_Pre1980_2A_74_16_19_0_6</t>
  </si>
  <si>
    <t>SmallOffice_Pre1980_2A_74_16_19_2_0</t>
  </si>
  <si>
    <t>SmallOffice_Pre1980_2A_74_16_19_2_2</t>
  </si>
  <si>
    <t>SmallOffice_Pre1980_2A_74_16_19_2_4</t>
  </si>
  <si>
    <t>SmallOffice_Pre1980_2A_74_16_19_2_6</t>
  </si>
  <si>
    <t>SmallOffice_Post1980_2A_74_16_19_0_0</t>
  </si>
  <si>
    <t>SmallOffice_Post1980_2A_74_16_19_0_2</t>
  </si>
  <si>
    <t>SmallOffice_Post1980_2A_74_16_19_0_4</t>
  </si>
  <si>
    <t>SmallOffice_Post1980_2A_74_16_19_0_6</t>
  </si>
  <si>
    <t>SmallOffice_Post1980_2A_74_16_19_2_0</t>
  </si>
  <si>
    <t>SmallOffice_Post1980_2A_74_16_19_2_2</t>
  </si>
  <si>
    <t>SmallOffice_Post1980_2A_74_16_19_2_4</t>
  </si>
  <si>
    <t>SmallOffice_Post1980_2A_74_16_19_2_6</t>
  </si>
  <si>
    <t>MediumOffice_Pre1980_2A_74_16_19_0_0</t>
  </si>
  <si>
    <t>MediumOffice_Pre1980_2A_74_16_19_0_2</t>
  </si>
  <si>
    <t>MediumOffice_Pre1980_2A_74_16_19_0_4</t>
  </si>
  <si>
    <t>MediumOffice_Pre1980_2A_74_16_19_0_6</t>
  </si>
  <si>
    <t>MediumOffice_Pre1980_2A_74_16_19_2_0</t>
  </si>
  <si>
    <t>MediumOffice_Pre1980_2A_74_16_19_2_2</t>
  </si>
  <si>
    <t>MediumOffice_Pre1980_2A_74_16_19_2_4</t>
  </si>
  <si>
    <t>MediumOffice_Pre1980_2A_74_16_19_2_6</t>
  </si>
  <si>
    <t>MediumOffice_Post1980_2A_74_16_19_0_0</t>
  </si>
  <si>
    <t>MediumOffice_Post1980_2A_74_16_19_0_2</t>
  </si>
  <si>
    <t>MediumOffice_Post1980_2A_74_16_19_0_4</t>
  </si>
  <si>
    <t>MediumOffice_Post1980_2A_74_16_19_0_6</t>
  </si>
  <si>
    <t>MediumOffice_Post1980_2A_74_16_19_2_0</t>
  </si>
  <si>
    <t>MediumOffice_Post1980_2A_74_16_19_2_2</t>
  </si>
  <si>
    <t>MediumOffice_Post1980_2A_74_16_19_2_4</t>
  </si>
  <si>
    <t>MediumOffice_Post1980_2A_74_16_19_2_6</t>
  </si>
  <si>
    <t>SecondarySchool_Pre1980_2A_74_16_19_0_0</t>
  </si>
  <si>
    <t>SecondarySchool_Pre1980_2A_74_16_19_0_2</t>
  </si>
  <si>
    <t>SecondarySchool_Pre1980_2A_74_16_19_0_4</t>
  </si>
  <si>
    <t>SecondarySchool_Pre1980_2A_74_16_19_0_6</t>
  </si>
  <si>
    <t>SecondarySchool_Pre1980_2A_74_16_19_2_2</t>
  </si>
  <si>
    <t>SecondarySchool_Pre1980_2A_74_16_19_2_4</t>
  </si>
  <si>
    <t>SecondarySchool_Pre1980_2A_74_16_19_2_6</t>
  </si>
  <si>
    <t>SecondarySchool_Post1980_2A_74_16_19_0_0</t>
  </si>
  <si>
    <t>SecondarySchool_Post1980_2A_74_16_19_0_2</t>
  </si>
  <si>
    <t>SecondarySchool_Post1980_2A_74_16_19_0_4</t>
  </si>
  <si>
    <t>SecondarySchool_Post1980_2A_74_16_19_0_6</t>
  </si>
  <si>
    <t>SecondarySchool_Post1980_2A_74_16_19_2_2</t>
  </si>
  <si>
    <t>SecondarySchool_Post1980_2A_74_16_19_2_4</t>
  </si>
  <si>
    <t>SecondarySchool_Post1980_2A_74_16_19_2_6</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</si>
</sst>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00"/>
    <numFmt numFmtId="165" formatCode="[$-409]h:mm\ AM/PM"/>
    <numFmt numFmtId="166" formatCode="0.0%"/>
    <numFmt numFmtId="167" formatCode="_(* #,##0_);_(* \(#,##0\);_(* &quot;-&quot;??_);_(@_)"/>
    <numFmt numFmtId="168" formatCode="_(* #,##0.00_);_(* \(#,##0.00\);_(* &quot;-&quot;??_);_(@_)"/>
    <numFmt numFmtId="169" formatCode="#,##0.0"/>
    <numFmt numFmtId="170" formatCode="0.0"/>
    <numFmt numFmtId="171" formatCode="0.000"/>
  </numFmts>
  <fonts count="21">
    <font>
      <sz val="12.0"/>
      <color theme="1"/>
      <name val="Calibri"/>
      <scheme val="minor"/>
    </font>
    <font>
      <b/>
      <sz val="16.0"/>
      <color theme="1"/>
      <name val="Calibri"/>
    </font>
    <font>
      <b/>
      <sz val="14.0"/>
      <color theme="1"/>
      <name val="Calibri"/>
    </font>
    <font/>
    <font>
      <sz val="12.0"/>
      <color theme="1"/>
      <name val="Calibri"/>
    </font>
    <font>
      <b/>
      <sz val="20.0"/>
      <color theme="1"/>
      <name val="Calibri"/>
    </font>
    <font>
      <b/>
      <sz val="12.0"/>
      <color theme="1"/>
      <name val="Calibri"/>
    </font>
    <font>
      <sz val="11.0"/>
      <color theme="1"/>
      <name val="Calibri"/>
    </font>
    <font>
      <b/>
      <sz val="11.0"/>
      <color rgb="FFFFFFFF"/>
      <name val="Calibri"/>
    </font>
    <font>
      <b/>
      <sz val="11.0"/>
      <color theme="1"/>
      <name val="Calibri"/>
    </font>
    <font>
      <b/>
      <color theme="1"/>
      <name val="Arial"/>
    </font>
    <font>
      <sz val="9.0"/>
      <color theme="1"/>
      <name val="Calibri"/>
    </font>
    <font>
      <b/>
      <i/>
      <sz val="11.0"/>
      <color rgb="FF0000FF"/>
      <name val="Calibri"/>
    </font>
    <font>
      <sz val="11.0"/>
      <color rgb="FF000000"/>
      <name val="Calibri"/>
    </font>
    <font>
      <i/>
      <sz val="9.0"/>
      <color theme="1"/>
      <name val="Calibri"/>
    </font>
    <font>
      <i/>
      <sz val="8.0"/>
      <color theme="1"/>
      <name val="Calibri"/>
    </font>
    <font>
      <i/>
      <sz val="11.0"/>
      <color theme="1"/>
      <name val="Calibri"/>
    </font>
    <font>
      <sz val="12.0"/>
      <color rgb="FF000000"/>
      <name val="Calibri"/>
    </font>
    <font>
      <color theme="1"/>
      <name val="Calibri"/>
    </font>
    <font>
      <sz val="10.0"/>
      <color theme="1"/>
      <name val="Arial"/>
    </font>
    <font>
      <color theme="1"/>
      <name val="Calibri"/>
      <scheme val="minor"/>
    </font>
  </fonts>
  <fills count="28">
    <fill>
      <patternFill patternType="none"/>
    </fill>
    <fill>
      <patternFill patternType="lightGray"/>
    </fill>
    <fill>
      <patternFill patternType="solid">
        <fgColor theme="6"/>
        <bgColor theme="6"/>
      </patternFill>
    </fill>
    <fill>
      <patternFill patternType="solid">
        <fgColor rgb="FFF2DBDB"/>
        <bgColor rgb="FFF2DBDB"/>
      </patternFill>
    </fill>
    <fill>
      <patternFill patternType="solid">
        <fgColor rgb="FFC6D9F0"/>
        <bgColor rgb="FFC6D9F0"/>
      </patternFill>
    </fill>
    <fill>
      <patternFill patternType="solid">
        <fgColor rgb="FFD8D8D8"/>
        <bgColor rgb="FFD8D8D8"/>
      </patternFill>
    </fill>
    <fill>
      <patternFill patternType="solid">
        <fgColor rgb="FF92CDDC"/>
        <bgColor rgb="FF92CDDC"/>
      </patternFill>
    </fill>
    <fill>
      <patternFill patternType="solid">
        <fgColor rgb="FFFF6600"/>
        <bgColor rgb="FFFF6600"/>
      </patternFill>
    </fill>
    <fill>
      <patternFill patternType="solid">
        <fgColor rgb="FFD6E3BC"/>
        <bgColor rgb="FFD6E3BC"/>
      </patternFill>
    </fill>
    <fill>
      <patternFill patternType="solid">
        <fgColor rgb="FF339966"/>
        <bgColor rgb="FF339966"/>
      </patternFill>
    </fill>
    <fill>
      <patternFill patternType="solid">
        <fgColor rgb="FFFFFF00"/>
        <bgColor rgb="FFFFFF00"/>
      </patternFill>
    </fill>
    <fill>
      <patternFill patternType="solid">
        <fgColor rgb="FF00FF00"/>
        <bgColor rgb="FF00FF00"/>
      </patternFill>
    </fill>
    <fill>
      <patternFill patternType="solid">
        <fgColor rgb="FF999999"/>
        <bgColor rgb="FF999999"/>
      </patternFill>
    </fill>
    <fill>
      <patternFill patternType="solid">
        <fgColor rgb="FF00FFFF"/>
        <bgColor rgb="FF00FFFF"/>
      </patternFill>
    </fill>
    <fill>
      <patternFill patternType="solid">
        <fgColor rgb="FFFABF8F"/>
        <bgColor rgb="FFFABF8F"/>
      </patternFill>
    </fill>
    <fill>
      <patternFill patternType="solid">
        <fgColor rgb="FFFF9900"/>
        <bgColor rgb="FFFF9900"/>
      </patternFill>
    </fill>
    <fill>
      <patternFill patternType="solid">
        <fgColor rgb="FF33CCCC"/>
        <bgColor rgb="FF33CCCC"/>
      </patternFill>
    </fill>
    <fill>
      <patternFill patternType="solid">
        <fgColor rgb="FFCCFFFF"/>
        <bgColor rgb="FFCCFFFF"/>
      </patternFill>
    </fill>
    <fill>
      <patternFill patternType="solid">
        <fgColor rgb="FFEAF1DD"/>
        <bgColor rgb="FFEAF1DD"/>
      </patternFill>
    </fill>
    <fill>
      <patternFill patternType="solid">
        <fgColor rgb="FFEBF1DE"/>
        <bgColor rgb="FFEBF1DE"/>
      </patternFill>
    </fill>
    <fill>
      <patternFill patternType="solid">
        <fgColor rgb="FFFDE9D9"/>
        <bgColor rgb="FFFDE9D9"/>
      </patternFill>
    </fill>
    <fill>
      <patternFill patternType="solid">
        <fgColor theme="8"/>
        <bgColor theme="8"/>
      </patternFill>
    </fill>
    <fill>
      <patternFill patternType="solid">
        <fgColor rgb="FF7F7F7F"/>
        <bgColor rgb="FF7F7F7F"/>
      </patternFill>
    </fill>
    <fill>
      <patternFill patternType="solid">
        <fgColor rgb="FF9BBB59"/>
        <bgColor rgb="FF9BBB59"/>
      </patternFill>
    </fill>
    <fill>
      <patternFill patternType="solid">
        <fgColor rgb="FF4BACC6"/>
        <bgColor rgb="FF4BACC6"/>
      </patternFill>
    </fill>
    <fill>
      <patternFill patternType="solid">
        <fgColor rgb="FF808080"/>
        <bgColor rgb="FF808080"/>
      </patternFill>
    </fill>
    <fill>
      <patternFill patternType="solid">
        <fgColor rgb="FFFBD4B4"/>
        <bgColor rgb="FFFBD4B4"/>
      </patternFill>
    </fill>
    <fill>
      <patternFill patternType="solid">
        <fgColor rgb="FF666666"/>
        <bgColor rgb="FF666666"/>
      </patternFill>
    </fill>
  </fills>
  <borders count="50">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bottom/>
    </border>
    <border>
      <left/>
      <right/>
      <top/>
      <bottom/>
    </border>
    <border>
      <left/>
      <right style="medium">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rder>
    <border>
      <left style="medium">
        <color rgb="FF000000"/>
      </left>
      <right style="thin">
        <color rgb="FF000000"/>
      </right>
      <bottom style="medium">
        <color rgb="FF000000"/>
      </bottom>
    </border>
    <border>
      <right style="thin">
        <color rgb="FF000000"/>
      </right>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top/>
      <bottom/>
    </border>
    <border>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s>
  <cellStyleXfs count="1">
    <xf borderId="0" fillId="0" fontId="0" numFmtId="0" applyAlignment="1" applyFont="1"/>
  </cellStyleXfs>
  <cellXfs count="244">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horizontal="left" vertical="center"/>
    </xf>
    <xf borderId="2" fillId="0" fontId="3" numFmtId="0" xfId="0" applyBorder="1" applyFont="1"/>
    <xf borderId="3" fillId="0" fontId="3" numFmtId="0" xfId="0" applyBorder="1" applyFont="1"/>
    <xf borderId="4" fillId="0" fontId="4" numFmtId="0" xfId="0" applyAlignment="1" applyBorder="1" applyFont="1">
      <alignment horizontal="left" shrinkToFit="0" vertical="center" wrapText="1"/>
    </xf>
    <xf borderId="5" fillId="0" fontId="3" numFmtId="0" xfId="0" applyBorder="1" applyFont="1"/>
    <xf borderId="4" fillId="0" fontId="4" numFmtId="0" xfId="0" applyAlignment="1" applyBorder="1" applyFont="1">
      <alignment horizontal="left" shrinkToFit="1" vertical="center" wrapText="0"/>
    </xf>
    <xf borderId="6" fillId="0" fontId="4" numFmtId="0" xfId="0" applyAlignment="1" applyBorder="1" applyFont="1">
      <alignment horizontal="left" shrinkToFit="0" vertical="center" wrapText="1"/>
    </xf>
    <xf borderId="7" fillId="0" fontId="3" numFmtId="0" xfId="0" applyBorder="1" applyFont="1"/>
    <xf borderId="8" fillId="0" fontId="3" numFmtId="0" xfId="0" applyBorder="1" applyFont="1"/>
    <xf borderId="0" fillId="0" fontId="4" numFmtId="0" xfId="0" applyAlignment="1" applyFont="1">
      <alignment horizontal="left" shrinkToFit="0" vertical="center" wrapText="1"/>
    </xf>
    <xf borderId="0" fillId="0" fontId="4" numFmtId="0" xfId="0" applyAlignment="1" applyFont="1">
      <alignment horizontal="left"/>
    </xf>
    <xf borderId="9" fillId="3" fontId="5" numFmtId="0" xfId="0" applyAlignment="1" applyBorder="1" applyFill="1" applyFont="1">
      <alignment horizontal="center"/>
    </xf>
    <xf borderId="10" fillId="0" fontId="3" numFmtId="0" xfId="0" applyBorder="1" applyFont="1"/>
    <xf borderId="11" fillId="0" fontId="3" numFmtId="0" xfId="0" applyBorder="1" applyFont="1"/>
    <xf borderId="12" fillId="3" fontId="4" numFmtId="0" xfId="0" applyBorder="1" applyFont="1"/>
    <xf borderId="13" fillId="3" fontId="4" numFmtId="0" xfId="0" applyAlignment="1" applyBorder="1" applyFont="1">
      <alignment horizontal="left" vertical="center"/>
    </xf>
    <xf borderId="14" fillId="3" fontId="4" numFmtId="0" xfId="0" applyAlignment="1" applyBorder="1" applyFont="1">
      <alignment horizontal="left" vertical="center"/>
    </xf>
    <xf borderId="15" fillId="3" fontId="4" numFmtId="0" xfId="0" applyBorder="1" applyFont="1"/>
    <xf borderId="16" fillId="3" fontId="4" numFmtId="0" xfId="0" applyAlignment="1" applyBorder="1" applyFont="1">
      <alignment horizontal="left" vertical="center"/>
    </xf>
    <xf borderId="17" fillId="3" fontId="4" numFmtId="0" xfId="0" applyAlignment="1" applyBorder="1" applyFont="1">
      <alignment horizontal="left"/>
    </xf>
    <xf borderId="16" fillId="3" fontId="4" numFmtId="0" xfId="0" applyAlignment="1" applyBorder="1" applyFont="1">
      <alignment horizontal="left" readingOrder="0" vertical="center"/>
    </xf>
    <xf borderId="17" fillId="3" fontId="4" numFmtId="0" xfId="0" applyAlignment="1" applyBorder="1" applyFont="1">
      <alignment horizontal="left" shrinkToFit="0" wrapText="1"/>
    </xf>
    <xf borderId="16" fillId="3" fontId="4" numFmtId="164" xfId="0" applyAlignment="1" applyBorder="1" applyFont="1" applyNumberFormat="1">
      <alignment horizontal="left" vertical="center"/>
    </xf>
    <xf borderId="16" fillId="3" fontId="4" numFmtId="1" xfId="0" applyAlignment="1" applyBorder="1" applyFont="1" applyNumberFormat="1">
      <alignment horizontal="left" vertical="center"/>
    </xf>
    <xf borderId="18" fillId="3" fontId="4" numFmtId="0" xfId="0" applyBorder="1" applyFont="1"/>
    <xf borderId="19" fillId="3" fontId="4" numFmtId="1" xfId="0" applyAlignment="1" applyBorder="1" applyFont="1" applyNumberFormat="1">
      <alignment horizontal="left" vertical="center"/>
    </xf>
    <xf borderId="20" fillId="3" fontId="4" numFmtId="0" xfId="0" applyAlignment="1" applyBorder="1" applyFont="1">
      <alignment horizontal="left"/>
    </xf>
    <xf borderId="21" fillId="4" fontId="4" numFmtId="0" xfId="0" applyBorder="1" applyFill="1" applyFont="1"/>
    <xf borderId="22" fillId="4" fontId="4" numFmtId="1" xfId="0" applyAlignment="1" applyBorder="1" applyFont="1" applyNumberFormat="1">
      <alignment horizontal="left" vertical="center"/>
    </xf>
    <xf borderId="23" fillId="4" fontId="4" numFmtId="0" xfId="0" applyAlignment="1" applyBorder="1" applyFont="1">
      <alignment horizontal="left"/>
    </xf>
    <xf borderId="22" fillId="4" fontId="4" numFmtId="0" xfId="0" applyAlignment="1" applyBorder="1" applyFont="1">
      <alignment horizontal="left" vertical="center"/>
    </xf>
    <xf borderId="24" fillId="4" fontId="4" numFmtId="0" xfId="0" applyBorder="1" applyFont="1"/>
    <xf borderId="25" fillId="4" fontId="4" numFmtId="0" xfId="0" applyAlignment="1" applyBorder="1" applyFont="1">
      <alignment horizontal="left"/>
    </xf>
    <xf borderId="26" fillId="4" fontId="4" numFmtId="0" xfId="0" applyAlignment="1" applyBorder="1" applyFont="1">
      <alignment horizontal="left"/>
    </xf>
    <xf borderId="4" fillId="0" fontId="4" numFmtId="0" xfId="0" applyBorder="1" applyFont="1"/>
    <xf borderId="0" fillId="0" fontId="4" numFmtId="0" xfId="0" applyAlignment="1" applyFont="1">
      <alignment horizontal="left" vertical="center"/>
    </xf>
    <xf borderId="5" fillId="0" fontId="4" numFmtId="0" xfId="0" applyAlignment="1" applyBorder="1" applyFont="1">
      <alignment horizontal="left"/>
    </xf>
    <xf borderId="15" fillId="3" fontId="6" numFmtId="0" xfId="0" applyAlignment="1" applyBorder="1" applyFont="1">
      <alignment horizontal="center"/>
    </xf>
    <xf borderId="16" fillId="3" fontId="6" numFmtId="0" xfId="0" applyAlignment="1" applyBorder="1" applyFont="1">
      <alignment horizontal="center"/>
    </xf>
    <xf borderId="17" fillId="3" fontId="6" numFmtId="0" xfId="0" applyAlignment="1" applyBorder="1" applyFont="1">
      <alignment horizontal="center"/>
    </xf>
    <xf borderId="15" fillId="3" fontId="4" numFmtId="1" xfId="0" applyAlignment="1" applyBorder="1" applyFont="1" applyNumberFormat="1">
      <alignment horizontal="center"/>
    </xf>
    <xf borderId="16" fillId="3" fontId="4" numFmtId="1" xfId="0" applyAlignment="1" applyBorder="1" applyFont="1" applyNumberFormat="1">
      <alignment horizontal="center"/>
    </xf>
    <xf borderId="17" fillId="3" fontId="4" numFmtId="1" xfId="0" applyAlignment="1" applyBorder="1" applyFont="1" applyNumberFormat="1">
      <alignment horizontal="center"/>
    </xf>
    <xf borderId="27" fillId="0" fontId="5" numFmtId="0" xfId="0" applyAlignment="1" applyBorder="1" applyFont="1">
      <alignment horizontal="center"/>
    </xf>
    <xf borderId="28" fillId="0" fontId="3" numFmtId="0" xfId="0" applyBorder="1" applyFont="1"/>
    <xf borderId="29" fillId="0" fontId="3" numFmtId="0" xfId="0" applyBorder="1" applyFont="1"/>
    <xf borderId="9" fillId="5" fontId="6" numFmtId="0" xfId="0" applyAlignment="1" applyBorder="1" applyFill="1" applyFont="1">
      <alignment horizontal="center"/>
    </xf>
    <xf borderId="4" fillId="0" fontId="4" numFmtId="0" xfId="0" applyAlignment="1" applyBorder="1" applyFont="1">
      <alignment shrinkToFit="0" wrapText="1"/>
    </xf>
    <xf borderId="0" fillId="0" fontId="4" numFmtId="0" xfId="0" applyAlignment="1" applyFont="1">
      <alignment horizontal="center" vertical="center"/>
    </xf>
    <xf borderId="5" fillId="0" fontId="4" numFmtId="0" xfId="0" applyBorder="1" applyFont="1"/>
    <xf borderId="21" fillId="6" fontId="4" numFmtId="0" xfId="0" applyBorder="1" applyFill="1" applyFont="1"/>
    <xf borderId="22" fillId="6" fontId="4" numFmtId="0" xfId="0" applyAlignment="1" applyBorder="1" applyFont="1">
      <alignment horizontal="center" readingOrder="0"/>
    </xf>
    <xf borderId="5" fillId="0" fontId="4" numFmtId="1" xfId="0" applyAlignment="1" applyBorder="1" applyFont="1" applyNumberFormat="1">
      <alignment vertical="center"/>
    </xf>
    <xf borderId="21" fillId="7" fontId="4" numFmtId="0" xfId="0" applyBorder="1" applyFill="1" applyFont="1"/>
    <xf borderId="22" fillId="7" fontId="4" numFmtId="0" xfId="0" applyAlignment="1" applyBorder="1" applyFont="1">
      <alignment horizontal="center"/>
    </xf>
    <xf borderId="4" fillId="0" fontId="4" numFmtId="0" xfId="0" applyAlignment="1" applyBorder="1" applyFont="1">
      <alignment vertical="center"/>
    </xf>
    <xf borderId="0" fillId="0" fontId="6" numFmtId="1" xfId="0" applyAlignment="1" applyFont="1" applyNumberFormat="1">
      <alignment horizontal="center" vertical="center"/>
    </xf>
    <xf borderId="6" fillId="0" fontId="4" numFmtId="0" xfId="0" applyAlignment="1" applyBorder="1" applyFont="1">
      <alignment vertical="center"/>
    </xf>
    <xf borderId="7" fillId="0" fontId="6" numFmtId="1" xfId="0" applyAlignment="1" applyBorder="1" applyFont="1" applyNumberFormat="1">
      <alignment horizontal="center" vertical="center"/>
    </xf>
    <xf borderId="8" fillId="0" fontId="4" numFmtId="0" xfId="0" applyBorder="1" applyFont="1"/>
    <xf borderId="0" fillId="0" fontId="4" numFmtId="1" xfId="0" applyAlignment="1" applyFont="1" applyNumberFormat="1">
      <alignment vertical="center"/>
    </xf>
    <xf borderId="4" fillId="0" fontId="4" numFmtId="165" xfId="0" applyAlignment="1" applyBorder="1" applyFont="1" applyNumberFormat="1">
      <alignment horizontal="center"/>
    </xf>
    <xf borderId="0" fillId="0" fontId="4" numFmtId="1" xfId="0" applyAlignment="1" applyFont="1" applyNumberFormat="1">
      <alignment horizontal="center"/>
    </xf>
    <xf borderId="5" fillId="0" fontId="4" numFmtId="1" xfId="0" applyAlignment="1" applyBorder="1" applyFont="1" applyNumberFormat="1">
      <alignment horizontal="center"/>
    </xf>
    <xf borderId="30" fillId="8" fontId="6" numFmtId="0" xfId="0" applyAlignment="1" applyBorder="1" applyFill="1" applyFont="1">
      <alignment horizontal="center" shrinkToFit="0" wrapText="1"/>
    </xf>
    <xf borderId="31" fillId="0" fontId="3" numFmtId="0" xfId="0" applyBorder="1" applyFont="1"/>
    <xf borderId="32" fillId="0" fontId="3" numFmtId="0" xfId="0" applyBorder="1" applyFont="1"/>
    <xf borderId="15" fillId="0" fontId="6" numFmtId="0" xfId="0" applyAlignment="1" applyBorder="1" applyFont="1">
      <alignment horizontal="center"/>
    </xf>
    <xf borderId="16" fillId="0" fontId="6" numFmtId="0" xfId="0" applyAlignment="1" applyBorder="1" applyFont="1">
      <alignment horizontal="center"/>
    </xf>
    <xf borderId="17" fillId="0" fontId="6" numFmtId="0" xfId="0" applyAlignment="1" applyBorder="1" applyFont="1">
      <alignment horizontal="center"/>
    </xf>
    <xf borderId="0" fillId="0" fontId="6" numFmtId="0" xfId="0" applyAlignment="1" applyFont="1">
      <alignment horizontal="center"/>
    </xf>
    <xf borderId="15" fillId="0" fontId="4" numFmtId="1" xfId="0" applyAlignment="1" applyBorder="1" applyFont="1" applyNumberFormat="1">
      <alignment horizontal="center"/>
    </xf>
    <xf borderId="16" fillId="0" fontId="4" numFmtId="1" xfId="0" applyAlignment="1" applyBorder="1" applyFont="1" applyNumberFormat="1">
      <alignment horizontal="center"/>
    </xf>
    <xf borderId="17" fillId="0" fontId="4" numFmtId="1" xfId="0" applyAlignment="1" applyBorder="1" applyFont="1" applyNumberFormat="1">
      <alignment horizontal="center"/>
    </xf>
    <xf borderId="0" fillId="0" fontId="4" numFmtId="9" xfId="0" applyFont="1" applyNumberFormat="1"/>
    <xf borderId="0" fillId="0" fontId="4" numFmtId="2" xfId="0" applyFont="1" applyNumberFormat="1"/>
    <xf borderId="0" fillId="0" fontId="2" numFmtId="0" xfId="0" applyAlignment="1" applyFont="1">
      <alignment shrinkToFit="0" vertical="bottom" wrapText="0"/>
    </xf>
    <xf borderId="0" fillId="0" fontId="7" numFmtId="0" xfId="0" applyAlignment="1" applyFont="1">
      <alignment vertical="bottom"/>
    </xf>
    <xf borderId="33" fillId="9" fontId="8" numFmtId="0" xfId="0" applyAlignment="1" applyBorder="1" applyFill="1" applyFont="1">
      <alignment horizontal="center" shrinkToFit="0" vertical="bottom" wrapText="1"/>
    </xf>
    <xf borderId="34" fillId="9" fontId="8" numFmtId="0" xfId="0" applyAlignment="1" applyBorder="1" applyFont="1">
      <alignment horizontal="center" shrinkToFit="0" vertical="bottom" wrapText="1"/>
    </xf>
    <xf borderId="0" fillId="10" fontId="7" numFmtId="0" xfId="0" applyAlignment="1" applyFill="1" applyFont="1">
      <alignment readingOrder="0" vertical="bottom"/>
    </xf>
    <xf borderId="0" fillId="11" fontId="7" numFmtId="0" xfId="0" applyAlignment="1" applyFill="1" applyFont="1">
      <alignment readingOrder="0" vertical="bottom"/>
    </xf>
    <xf borderId="0" fillId="12" fontId="7" numFmtId="0" xfId="0" applyAlignment="1" applyFill="1" applyFont="1">
      <alignment readingOrder="0" vertical="bottom"/>
    </xf>
    <xf borderId="0" fillId="13" fontId="7" numFmtId="0" xfId="0" applyAlignment="1" applyFill="1" applyFont="1">
      <alignment readingOrder="0" vertical="bottom"/>
    </xf>
    <xf borderId="33" fillId="0" fontId="7" numFmtId="0" xfId="0" applyAlignment="1" applyBorder="1" applyFont="1">
      <alignment horizontal="center" vertical="center"/>
    </xf>
    <xf borderId="34" fillId="0" fontId="9" numFmtId="0" xfId="0" applyAlignment="1" applyBorder="1" applyFont="1">
      <alignment vertical="bottom"/>
    </xf>
    <xf borderId="34" fillId="0" fontId="7" numFmtId="0" xfId="0" applyAlignment="1" applyBorder="1" applyFont="1">
      <alignment vertical="bottom"/>
    </xf>
    <xf borderId="34" fillId="0" fontId="9" numFmtId="0" xfId="0" applyAlignment="1" applyBorder="1" applyFont="1">
      <alignment shrinkToFit="0" vertical="bottom" wrapText="0"/>
    </xf>
    <xf borderId="35" fillId="9" fontId="8" numFmtId="0" xfId="0" applyAlignment="1" applyBorder="1" applyFont="1">
      <alignment horizontal="center" vertical="bottom"/>
    </xf>
    <xf borderId="33" fillId="9" fontId="8" numFmtId="0" xfId="0" applyAlignment="1" applyBorder="1" applyFont="1">
      <alignment horizontal="center" vertical="bottom"/>
    </xf>
    <xf borderId="36" fillId="0" fontId="7" numFmtId="0" xfId="0" applyAlignment="1" applyBorder="1" applyFont="1">
      <alignment vertical="bottom"/>
    </xf>
    <xf borderId="35" fillId="0" fontId="7" numFmtId="0" xfId="0" applyAlignment="1" applyBorder="1" applyFont="1">
      <alignment vertical="bottom"/>
    </xf>
    <xf borderId="33" fillId="11" fontId="7" numFmtId="3" xfId="0" applyAlignment="1" applyBorder="1" applyFont="1" applyNumberFormat="1">
      <alignment horizontal="center" vertical="bottom"/>
    </xf>
    <xf borderId="33" fillId="0" fontId="7" numFmtId="0" xfId="0" applyAlignment="1" applyBorder="1" applyFont="1">
      <alignment vertical="bottom"/>
    </xf>
    <xf borderId="33" fillId="0" fontId="7" numFmtId="9" xfId="0" applyAlignment="1" applyBorder="1" applyFont="1" applyNumberFormat="1">
      <alignment horizontal="center" vertical="bottom"/>
    </xf>
    <xf borderId="33" fillId="11" fontId="7" numFmtId="37" xfId="0" applyAlignment="1" applyBorder="1" applyFont="1" applyNumberFormat="1">
      <alignment horizontal="center" vertical="bottom"/>
    </xf>
    <xf borderId="33" fillId="12" fontId="7" numFmtId="0" xfId="0" applyAlignment="1" applyBorder="1" applyFont="1">
      <alignment horizontal="center" vertical="bottom"/>
    </xf>
    <xf borderId="33" fillId="12" fontId="7" numFmtId="2" xfId="0" applyAlignment="1" applyBorder="1" applyFont="1" applyNumberFormat="1">
      <alignment horizontal="center" vertical="bottom"/>
    </xf>
    <xf borderId="33" fillId="12" fontId="7" numFmtId="9" xfId="0" applyAlignment="1" applyBorder="1" applyFont="1" applyNumberFormat="1">
      <alignment horizontal="center" vertical="bottom"/>
    </xf>
    <xf borderId="33" fillId="12" fontId="7" numFmtId="166" xfId="0" applyAlignment="1" applyBorder="1" applyFont="1" applyNumberFormat="1">
      <alignment horizontal="center" vertical="bottom"/>
    </xf>
    <xf quotePrefix="1" borderId="34" fillId="14" fontId="10" numFmtId="0" xfId="0" applyAlignment="1" applyBorder="1" applyFill="1" applyFont="1">
      <alignment horizontal="center" vertical="bottom"/>
    </xf>
    <xf borderId="34" fillId="0" fontId="3" numFmtId="0" xfId="0" applyBorder="1" applyFont="1"/>
    <xf borderId="33" fillId="0" fontId="3" numFmtId="0" xfId="0" applyBorder="1" applyFont="1"/>
    <xf borderId="33" fillId="0" fontId="10" numFmtId="0" xfId="0" applyAlignment="1" applyBorder="1" applyFont="1">
      <alignment horizontal="right" vertical="bottom"/>
    </xf>
    <xf borderId="33" fillId="0" fontId="10" numFmtId="0" xfId="0" applyAlignment="1" applyBorder="1" applyFont="1">
      <alignment horizontal="right" shrinkToFit="0" vertical="bottom" wrapText="1"/>
    </xf>
    <xf borderId="35" fillId="15" fontId="7" numFmtId="0" xfId="0" applyAlignment="1" applyBorder="1" applyFill="1" applyFont="1">
      <alignment vertical="bottom"/>
    </xf>
    <xf borderId="33" fillId="10" fontId="7" numFmtId="0" xfId="0" applyAlignment="1" applyBorder="1" applyFont="1">
      <alignment horizontal="center" vertical="bottom"/>
    </xf>
    <xf borderId="33" fillId="15" fontId="7" numFmtId="0" xfId="0" applyAlignment="1" applyBorder="1" applyFont="1">
      <alignment vertical="bottom"/>
    </xf>
    <xf borderId="33" fillId="10" fontId="10" numFmtId="0" xfId="0" applyAlignment="1" applyBorder="1" applyFont="1">
      <alignment vertical="bottom"/>
    </xf>
    <xf borderId="33" fillId="10" fontId="7" numFmtId="167" xfId="0" applyAlignment="1" applyBorder="1" applyFont="1" applyNumberFormat="1">
      <alignment horizontal="right" vertical="bottom"/>
    </xf>
    <xf borderId="33" fillId="10" fontId="7" numFmtId="0" xfId="0" applyAlignment="1" applyBorder="1" applyFont="1">
      <alignment horizontal="right" vertical="bottom"/>
    </xf>
    <xf borderId="33" fillId="10" fontId="7" numFmtId="166" xfId="0" applyAlignment="1" applyBorder="1" applyFont="1" applyNumberFormat="1">
      <alignment horizontal="right" vertical="bottom"/>
    </xf>
    <xf borderId="33" fillId="13" fontId="7" numFmtId="166" xfId="0" applyAlignment="1" applyBorder="1" applyFont="1" applyNumberFormat="1">
      <alignment horizontal="center" vertical="bottom"/>
    </xf>
    <xf borderId="33" fillId="0" fontId="10" numFmtId="0" xfId="0" applyAlignment="1" applyBorder="1" applyFont="1">
      <alignment vertical="bottom"/>
    </xf>
    <xf borderId="33" fillId="0" fontId="10" numFmtId="167" xfId="0" applyAlignment="1" applyBorder="1" applyFont="1" applyNumberFormat="1">
      <alignment horizontal="right" vertical="bottom"/>
    </xf>
    <xf borderId="33" fillId="0" fontId="7" numFmtId="167" xfId="0" applyAlignment="1" applyBorder="1" applyFont="1" applyNumberFormat="1">
      <alignment vertical="bottom"/>
    </xf>
    <xf quotePrefix="1" borderId="35" fillId="0" fontId="7" numFmtId="0" xfId="0" applyAlignment="1" applyBorder="1" applyFont="1">
      <alignment vertical="bottom"/>
    </xf>
    <xf borderId="33" fillId="11" fontId="7" numFmtId="2" xfId="0" applyAlignment="1" applyBorder="1" applyFont="1" applyNumberFormat="1">
      <alignment horizontal="center" vertical="bottom"/>
    </xf>
    <xf borderId="33" fillId="10" fontId="7" numFmtId="166" xfId="0" applyAlignment="1" applyBorder="1" applyFont="1" applyNumberFormat="1">
      <alignment horizontal="center" vertical="bottom"/>
    </xf>
    <xf quotePrefix="1" borderId="33" fillId="0" fontId="7" numFmtId="0" xfId="0" applyAlignment="1" applyBorder="1" applyFont="1">
      <alignment vertical="bottom"/>
    </xf>
    <xf borderId="33" fillId="11" fontId="7" numFmtId="9" xfId="0" applyAlignment="1" applyBorder="1" applyFont="1" applyNumberFormat="1">
      <alignment horizontal="center" vertical="bottom"/>
    </xf>
    <xf borderId="33" fillId="0" fontId="10" numFmtId="0" xfId="0" applyAlignment="1" applyBorder="1" applyFont="1">
      <alignment horizontal="right" shrinkToFit="0" vertical="bottom" wrapText="0"/>
    </xf>
    <xf borderId="33" fillId="0" fontId="7" numFmtId="167" xfId="0" applyAlignment="1" applyBorder="1" applyFont="1" applyNumberFormat="1">
      <alignment horizontal="right" vertical="bottom"/>
    </xf>
    <xf borderId="33" fillId="0" fontId="7" numFmtId="0" xfId="0" applyAlignment="1" applyBorder="1" applyFont="1">
      <alignment horizontal="right" vertical="bottom"/>
    </xf>
    <xf borderId="33" fillId="0" fontId="7" numFmtId="168" xfId="0" applyAlignment="1" applyBorder="1" applyFont="1" applyNumberFormat="1">
      <alignment horizontal="right" vertical="bottom"/>
    </xf>
    <xf borderId="33" fillId="10" fontId="7" numFmtId="3" xfId="0" applyAlignment="1" applyBorder="1" applyFont="1" applyNumberFormat="1">
      <alignment horizontal="center" vertical="bottom"/>
    </xf>
    <xf borderId="35" fillId="0" fontId="11" numFmtId="0" xfId="0" applyAlignment="1" applyBorder="1" applyFont="1">
      <alignment vertical="bottom"/>
    </xf>
    <xf borderId="33" fillId="13" fontId="7" numFmtId="0" xfId="0" applyAlignment="1" applyBorder="1" applyFont="1">
      <alignment horizontal="center" vertical="bottom"/>
    </xf>
    <xf borderId="33" fillId="13" fontId="7" numFmtId="2" xfId="0" applyAlignment="1" applyBorder="1" applyFont="1" applyNumberFormat="1">
      <alignment horizontal="center" vertical="bottom"/>
    </xf>
    <xf quotePrefix="1" borderId="35" fillId="0" fontId="11" numFmtId="0" xfId="0" applyAlignment="1" applyBorder="1" applyFont="1">
      <alignment vertical="bottom"/>
    </xf>
    <xf borderId="33" fillId="9" fontId="8" numFmtId="0" xfId="0" applyAlignment="1" applyBorder="1" applyFont="1">
      <alignment horizontal="center" shrinkToFit="0" vertical="bottom" wrapText="0"/>
    </xf>
    <xf borderId="34" fillId="9" fontId="8" numFmtId="0" xfId="0" applyAlignment="1" applyBorder="1" applyFont="1">
      <alignment horizontal="center" shrinkToFit="0" vertical="bottom" wrapText="0"/>
    </xf>
    <xf borderId="7" fillId="0" fontId="7" numFmtId="0" xfId="0" applyAlignment="1" applyBorder="1" applyFont="1">
      <alignment vertical="bottom"/>
    </xf>
    <xf borderId="0" fillId="0" fontId="9" numFmtId="0" xfId="0" applyAlignment="1" applyFont="1">
      <alignment vertical="bottom"/>
    </xf>
    <xf borderId="0" fillId="0" fontId="7" numFmtId="0" xfId="0" applyAlignment="1" applyFont="1">
      <alignment horizontal="right" vertical="bottom"/>
    </xf>
    <xf quotePrefix="1" borderId="0" fillId="0" fontId="7" numFmtId="0" xfId="0" applyAlignment="1" applyFont="1">
      <alignment shrinkToFit="0" vertical="bottom" wrapText="0"/>
    </xf>
    <xf borderId="0" fillId="0" fontId="7" numFmtId="0" xfId="0" applyAlignment="1" applyFont="1">
      <alignment horizontal="right" readingOrder="0" vertical="bottom"/>
    </xf>
    <xf borderId="0" fillId="0" fontId="7" numFmtId="3" xfId="0" applyAlignment="1" applyFont="1" applyNumberFormat="1">
      <alignment vertical="bottom"/>
    </xf>
    <xf borderId="0" fillId="0" fontId="7" numFmtId="9" xfId="0" applyAlignment="1" applyFont="1" applyNumberFormat="1">
      <alignment vertical="bottom"/>
    </xf>
    <xf quotePrefix="1" borderId="0" fillId="0" fontId="7" numFmtId="3" xfId="0" applyAlignment="1" applyFont="1" applyNumberFormat="1">
      <alignment shrinkToFit="0" vertical="bottom" wrapText="0"/>
    </xf>
    <xf borderId="34" fillId="0" fontId="7" numFmtId="0" xfId="0" applyAlignment="1" applyBorder="1" applyFont="1">
      <alignment horizontal="right" vertical="bottom"/>
    </xf>
    <xf borderId="34" fillId="11" fontId="7" numFmtId="9" xfId="0" applyAlignment="1" applyBorder="1" applyFont="1" applyNumberFormat="1">
      <alignment horizontal="center" vertical="bottom"/>
    </xf>
    <xf borderId="33" fillId="11" fontId="7" numFmtId="0" xfId="0" applyAlignment="1" applyBorder="1" applyFont="1">
      <alignment vertical="bottom"/>
    </xf>
    <xf quotePrefix="1" borderId="0" fillId="0" fontId="9" numFmtId="0" xfId="0" applyAlignment="1" applyFont="1">
      <alignment shrinkToFit="0" vertical="bottom" wrapText="0"/>
    </xf>
    <xf quotePrefix="1" borderId="0" fillId="0" fontId="7" numFmtId="0" xfId="0" applyAlignment="1" applyFont="1">
      <alignment horizontal="right" vertical="bottom"/>
    </xf>
    <xf borderId="34" fillId="0" fontId="12" numFmtId="0" xfId="0" applyAlignment="1" applyBorder="1" applyFont="1">
      <alignment horizontal="center" vertical="bottom"/>
    </xf>
    <xf borderId="34" fillId="11" fontId="7" numFmtId="169" xfId="0" applyAlignment="1" applyBorder="1" applyFont="1" applyNumberFormat="1">
      <alignment horizontal="center" vertical="bottom"/>
    </xf>
    <xf borderId="37" fillId="9" fontId="8" numFmtId="0" xfId="0" applyAlignment="1" applyBorder="1" applyFont="1">
      <alignment horizontal="center" vertical="bottom"/>
    </xf>
    <xf borderId="7" fillId="9" fontId="7" numFmtId="169" xfId="0" applyAlignment="1" applyBorder="1" applyFont="1" applyNumberFormat="1">
      <alignment horizontal="center" vertical="bottom"/>
    </xf>
    <xf borderId="8" fillId="9" fontId="7" numFmtId="0" xfId="0" applyAlignment="1" applyBorder="1" applyFont="1">
      <alignment vertical="bottom"/>
    </xf>
    <xf borderId="34" fillId="0" fontId="13" numFmtId="0" xfId="0" applyAlignment="1" applyBorder="1" applyFont="1">
      <alignment horizontal="center" vertical="bottom"/>
    </xf>
    <xf borderId="0" fillId="0" fontId="14" numFmtId="0" xfId="0" applyAlignment="1" applyFont="1">
      <alignment shrinkToFit="0" vertical="bottom" wrapText="0"/>
    </xf>
    <xf borderId="0" fillId="0" fontId="9" numFmtId="0" xfId="0" applyAlignment="1" applyFont="1">
      <alignment shrinkToFit="0" vertical="bottom" wrapText="0"/>
    </xf>
    <xf quotePrefix="1" borderId="34" fillId="0" fontId="7" numFmtId="0" xfId="0" applyAlignment="1" applyBorder="1" applyFont="1">
      <alignment horizontal="center" vertical="bottom"/>
    </xf>
    <xf borderId="0" fillId="0" fontId="7" numFmtId="3" xfId="0" applyAlignment="1" applyFont="1" applyNumberFormat="1">
      <alignment horizontal="center" vertical="bottom"/>
    </xf>
    <xf borderId="0" fillId="0" fontId="7" numFmtId="169" xfId="0" applyAlignment="1" applyFont="1" applyNumberFormat="1">
      <alignment vertical="bottom"/>
    </xf>
    <xf borderId="0" fillId="0" fontId="7" numFmtId="169" xfId="0" applyAlignment="1" applyFont="1" applyNumberFormat="1">
      <alignment shrinkToFit="0" vertical="bottom" wrapText="0"/>
    </xf>
    <xf quotePrefix="1" borderId="37" fillId="9" fontId="8" numFmtId="0" xfId="0" applyAlignment="1" applyBorder="1" applyFont="1">
      <alignment horizontal="center" vertical="bottom"/>
    </xf>
    <xf borderId="0" fillId="0" fontId="14" numFmtId="0" xfId="0" applyAlignment="1" applyFont="1">
      <alignment vertical="bottom"/>
    </xf>
    <xf quotePrefix="1" borderId="0" fillId="0" fontId="9" numFmtId="0" xfId="0" applyAlignment="1" applyFont="1">
      <alignment vertical="bottom"/>
    </xf>
    <xf quotePrefix="1" borderId="35" fillId="9" fontId="8" numFmtId="0" xfId="0" applyAlignment="1" applyBorder="1" applyFont="1">
      <alignment horizontal="center" vertical="bottom"/>
    </xf>
    <xf borderId="7" fillId="0" fontId="14" numFmtId="0" xfId="0" applyAlignment="1" applyBorder="1" applyFont="1">
      <alignment vertical="bottom"/>
    </xf>
    <xf borderId="7" fillId="16" fontId="7" numFmtId="169" xfId="0" applyAlignment="1" applyBorder="1" applyFill="1" applyFont="1" applyNumberFormat="1">
      <alignment horizontal="center" vertical="bottom"/>
    </xf>
    <xf borderId="8" fillId="16" fontId="7" numFmtId="0" xfId="0" applyAlignment="1" applyBorder="1" applyFont="1">
      <alignment vertical="bottom"/>
    </xf>
    <xf borderId="34" fillId="11" fontId="7" numFmtId="3" xfId="0" applyAlignment="1" applyBorder="1" applyFont="1" applyNumberFormat="1">
      <alignment horizontal="center" vertical="bottom"/>
    </xf>
    <xf borderId="38" fillId="11" fontId="7" numFmtId="0" xfId="0" applyAlignment="1" applyBorder="1" applyFont="1">
      <alignment vertical="bottom"/>
    </xf>
    <xf borderId="38" fillId="0" fontId="7" numFmtId="0" xfId="0" applyAlignment="1" applyBorder="1" applyFont="1">
      <alignment vertical="bottom"/>
    </xf>
    <xf borderId="38" fillId="17" fontId="7" numFmtId="1" xfId="0" applyAlignment="1" applyBorder="1" applyFill="1" applyFont="1" applyNumberFormat="1">
      <alignment horizontal="center" readingOrder="0" vertical="bottom"/>
    </xf>
    <xf quotePrefix="1" borderId="7" fillId="0" fontId="7" numFmtId="0" xfId="0" applyAlignment="1" applyBorder="1" applyFont="1">
      <alignment shrinkToFit="0" vertical="bottom" wrapText="0"/>
    </xf>
    <xf borderId="7" fillId="16" fontId="7" numFmtId="170" xfId="0" applyAlignment="1" applyBorder="1" applyFont="1" applyNumberFormat="1">
      <alignment horizontal="center" vertical="bottom"/>
    </xf>
    <xf borderId="0" fillId="0" fontId="15" numFmtId="0" xfId="0" applyAlignment="1" applyFont="1">
      <alignment shrinkToFit="0" vertical="top" wrapText="1"/>
    </xf>
    <xf borderId="0" fillId="0" fontId="16" numFmtId="0" xfId="0" applyAlignment="1" applyFont="1">
      <alignment readingOrder="0" shrinkToFit="0" vertical="bottom" wrapText="0"/>
    </xf>
    <xf borderId="39" fillId="18" fontId="4" numFmtId="0" xfId="0" applyBorder="1" applyFill="1" applyFont="1"/>
    <xf borderId="40" fillId="18" fontId="4" numFmtId="0" xfId="0" applyBorder="1" applyFont="1"/>
    <xf quotePrefix="1" borderId="40" fillId="18" fontId="4" numFmtId="0" xfId="0" applyBorder="1" applyFont="1"/>
    <xf quotePrefix="1" borderId="40" fillId="18" fontId="4" numFmtId="0" xfId="0" applyAlignment="1" applyBorder="1" applyFont="1">
      <alignment horizontal="left"/>
    </xf>
    <xf borderId="40" fillId="18" fontId="4" numFmtId="0" xfId="0" applyAlignment="1" applyBorder="1" applyFont="1">
      <alignment horizontal="left"/>
    </xf>
    <xf quotePrefix="1" borderId="41" fillId="18" fontId="4" numFmtId="0" xfId="0" applyAlignment="1" applyBorder="1" applyFont="1">
      <alignment horizontal="left"/>
    </xf>
    <xf borderId="41" fillId="19" fontId="17" numFmtId="0" xfId="0" applyAlignment="1" applyBorder="1" applyFill="1" applyFont="1">
      <alignment horizontal="left"/>
    </xf>
    <xf borderId="0" fillId="0" fontId="17" numFmtId="0" xfId="0" applyFont="1"/>
    <xf borderId="27" fillId="0" fontId="4" numFmtId="0" xfId="0" applyBorder="1" applyFont="1"/>
    <xf quotePrefix="1" borderId="29" fillId="0" fontId="4" numFmtId="0" xfId="0" applyAlignment="1" applyBorder="1" applyFont="1">
      <alignment horizontal="left"/>
    </xf>
    <xf borderId="42" fillId="0" fontId="4" numFmtId="0" xfId="0" applyBorder="1" applyFont="1"/>
    <xf borderId="42" fillId="0" fontId="17" numFmtId="0" xfId="0" applyBorder="1" applyFont="1"/>
    <xf borderId="6" fillId="0" fontId="4" numFmtId="0" xfId="0" applyBorder="1" applyFont="1"/>
    <xf borderId="43" fillId="0" fontId="4" numFmtId="0" xfId="0" applyBorder="1" applyFont="1"/>
    <xf borderId="44" fillId="0" fontId="4" numFmtId="0" xfId="0" applyBorder="1" applyFont="1"/>
    <xf borderId="44" fillId="0" fontId="17" numFmtId="0" xfId="0" applyBorder="1" applyFont="1"/>
    <xf borderId="43" fillId="0" fontId="18" numFmtId="0" xfId="0" applyBorder="1" applyFont="1"/>
    <xf borderId="44" fillId="0" fontId="18" numFmtId="0" xfId="0" applyBorder="1" applyFont="1"/>
    <xf borderId="45" fillId="20" fontId="2" numFmtId="0" xfId="0" applyAlignment="1" applyBorder="1" applyFill="1" applyFont="1">
      <alignment horizontal="center"/>
    </xf>
    <xf borderId="46" fillId="0" fontId="3" numFmtId="0" xfId="0" applyBorder="1" applyFont="1"/>
    <xf borderId="22" fillId="2" fontId="4" numFmtId="0" xfId="0" applyBorder="1" applyFont="1"/>
    <xf borderId="45" fillId="2" fontId="4" numFmtId="0" xfId="0" applyAlignment="1" applyBorder="1" applyFont="1">
      <alignment horizontal="center"/>
    </xf>
    <xf borderId="0" fillId="0" fontId="18" numFmtId="0" xfId="0" applyFont="1"/>
    <xf borderId="22" fillId="21" fontId="4" numFmtId="0" xfId="0" applyBorder="1" applyFill="1" applyFont="1"/>
    <xf borderId="22" fillId="7" fontId="4" numFmtId="0" xfId="0" applyBorder="1" applyFont="1"/>
    <xf borderId="0" fillId="0" fontId="18" numFmtId="2" xfId="0" applyFont="1" applyNumberFormat="1"/>
    <xf borderId="22" fillId="22" fontId="4" numFmtId="2" xfId="0" applyBorder="1" applyFill="1" applyFont="1" applyNumberFormat="1"/>
    <xf borderId="22" fillId="23" fontId="17" numFmtId="0" xfId="0" applyBorder="1" applyFill="1" applyFont="1"/>
    <xf borderId="45" fillId="23" fontId="17" numFmtId="0" xfId="0" applyAlignment="1" applyBorder="1" applyFont="1">
      <alignment horizontal="center"/>
    </xf>
    <xf borderId="22" fillId="24" fontId="17" numFmtId="0" xfId="0" applyBorder="1" applyFill="1" applyFont="1"/>
    <xf borderId="0" fillId="0" fontId="17" numFmtId="0" xfId="0" applyAlignment="1" applyFont="1">
      <alignment horizontal="center" vertical="center"/>
    </xf>
    <xf borderId="22" fillId="25" fontId="17" numFmtId="2" xfId="0" applyBorder="1" applyFill="1" applyFont="1" applyNumberFormat="1"/>
    <xf borderId="0" fillId="0" fontId="19" numFmtId="164" xfId="0" applyAlignment="1" applyFont="1" applyNumberFormat="1">
      <alignment shrinkToFit="0" wrapText="1"/>
    </xf>
    <xf borderId="0" fillId="0" fontId="19" numFmtId="0" xfId="0" applyAlignment="1" applyFont="1">
      <alignment shrinkToFit="0" wrapText="1"/>
    </xf>
    <xf borderId="0" fillId="0" fontId="20" numFmtId="0" xfId="0" applyAlignment="1" applyFont="1">
      <alignment readingOrder="0"/>
    </xf>
    <xf borderId="0" fillId="0" fontId="4" numFmtId="164" xfId="0" applyFont="1" applyNumberFormat="1"/>
    <xf borderId="0" fillId="0" fontId="19" numFmtId="0" xfId="0" applyFont="1"/>
    <xf borderId="0" fillId="0" fontId="19" numFmtId="164" xfId="0" applyFont="1" applyNumberFormat="1"/>
    <xf borderId="47" fillId="26" fontId="4" numFmtId="0" xfId="0" applyBorder="1" applyFill="1" applyFont="1"/>
    <xf borderId="48" fillId="26" fontId="4" numFmtId="0" xfId="0" applyBorder="1" applyFont="1"/>
    <xf borderId="48" fillId="26" fontId="4" numFmtId="14" xfId="0" applyBorder="1" applyFont="1" applyNumberFormat="1"/>
    <xf borderId="48" fillId="24" fontId="17" numFmtId="0" xfId="0" applyBorder="1" applyFont="1"/>
    <xf borderId="49" fillId="26" fontId="4" numFmtId="0" xfId="0" applyBorder="1" applyFont="1"/>
    <xf borderId="21" fillId="26" fontId="4" numFmtId="0" xfId="0" applyBorder="1" applyFont="1"/>
    <xf borderId="22" fillId="26" fontId="4" numFmtId="0" xfId="0" applyBorder="1" applyFont="1"/>
    <xf borderId="22" fillId="7" fontId="17" numFmtId="0" xfId="0" applyBorder="1" applyFont="1"/>
    <xf borderId="23" fillId="26" fontId="4" numFmtId="0" xfId="0" applyBorder="1" applyFont="1"/>
    <xf borderId="0" fillId="0" fontId="4" numFmtId="1" xfId="0" applyFont="1" applyNumberFormat="1"/>
    <xf borderId="0" fillId="0" fontId="4" numFmtId="170" xfId="0" applyFont="1" applyNumberFormat="1"/>
    <xf borderId="0" fillId="0" fontId="4" numFmtId="170" xfId="0" applyAlignment="1" applyFont="1" applyNumberFormat="1">
      <alignment horizontal="left"/>
    </xf>
    <xf borderId="0" fillId="0" fontId="4" numFmtId="171" xfId="0" applyFont="1" applyNumberFormat="1"/>
    <xf borderId="5" fillId="0" fontId="4" numFmtId="1" xfId="0" applyBorder="1" applyFont="1" applyNumberFormat="1"/>
    <xf borderId="22" fillId="26" fontId="4" numFmtId="14" xfId="0" applyBorder="1" applyFont="1" applyNumberFormat="1"/>
    <xf borderId="7" fillId="0" fontId="4" numFmtId="1" xfId="0" applyBorder="1" applyFont="1" applyNumberFormat="1"/>
    <xf borderId="7" fillId="0" fontId="4" numFmtId="0" xfId="0" applyBorder="1" applyFont="1"/>
    <xf borderId="7" fillId="0" fontId="4" numFmtId="170" xfId="0" applyBorder="1" applyFont="1" applyNumberFormat="1"/>
    <xf borderId="7" fillId="0" fontId="4" numFmtId="170" xfId="0" applyAlignment="1" applyBorder="1" applyFont="1" applyNumberFormat="1">
      <alignment horizontal="left"/>
    </xf>
    <xf borderId="7" fillId="0" fontId="4" numFmtId="171" xfId="0" applyBorder="1" applyFont="1" applyNumberFormat="1"/>
    <xf borderId="8" fillId="0" fontId="4" numFmtId="1" xfId="0" applyBorder="1" applyFont="1" applyNumberFormat="1"/>
    <xf borderId="27" fillId="26" fontId="4" numFmtId="0" xfId="0" applyAlignment="1" applyBorder="1" applyFont="1">
      <alignment vertical="bottom"/>
    </xf>
    <xf borderId="28" fillId="26" fontId="4" numFmtId="0" xfId="0" applyAlignment="1" applyBorder="1" applyFont="1">
      <alignment vertical="bottom"/>
    </xf>
    <xf borderId="28" fillId="26" fontId="4" numFmtId="14" xfId="0" applyAlignment="1" applyBorder="1" applyFont="1" applyNumberFormat="1">
      <alignment vertical="bottom"/>
    </xf>
    <xf borderId="0" fillId="0" fontId="4" numFmtId="0" xfId="0" applyAlignment="1" applyFont="1">
      <alignment vertical="bottom"/>
    </xf>
    <xf borderId="0" fillId="27" fontId="4" numFmtId="0" xfId="0" applyAlignment="1" applyFill="1" applyFont="1">
      <alignment vertical="bottom"/>
    </xf>
    <xf borderId="0" fillId="26" fontId="4" numFmtId="0" xfId="0" applyAlignment="1" applyFont="1">
      <alignment vertical="bottom"/>
    </xf>
    <xf borderId="0" fillId="26" fontId="4" numFmtId="0" xfId="0" applyAlignment="1" applyFont="1">
      <alignment horizontal="right" vertical="bottom"/>
    </xf>
    <xf borderId="0" fillId="27" fontId="18" numFmtId="2" xfId="0" applyFont="1" applyNumberFormat="1"/>
    <xf borderId="0" fillId="0" fontId="4" numFmtId="170" xfId="0" applyAlignment="1" applyFont="1" applyNumberFormat="1">
      <alignment vertical="bottom"/>
    </xf>
    <xf borderId="0" fillId="0" fontId="4" numFmtId="2" xfId="0" applyAlignment="1" applyFont="1" applyNumberFormat="1">
      <alignment horizontal="right" vertical="bottom"/>
    </xf>
    <xf borderId="0" fillId="0" fontId="4" numFmtId="11"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HVAC Temp Reset DR Shed Estimates (kW) for Different Peak Temps in Building's Climate Zone</a:t>
            </a:r>
          </a:p>
        </c:rich>
      </c:tx>
      <c:layout>
        <c:manualLayout>
          <c:xMode val="edge"/>
          <c:yMode val="edge"/>
          <c:x val="0.152350079881319"/>
          <c:y val="0.0242424242424242"/>
        </c:manualLayout>
      </c:layout>
      <c:overlay val="0"/>
    </c:title>
    <c:plotArea>
      <c:layout>
        <c:manualLayout>
          <c:xMode val="edge"/>
          <c:yMode val="edge"/>
          <c:x val="0.099056120257695"/>
          <c:y val="0.153681664791901"/>
          <c:w val="0.868984824624195"/>
          <c:h val="0.716019412025862"/>
        </c:manualLayout>
      </c:layout>
      <c:scatterChart>
        <c:scatterStyle val="lineMarker"/>
        <c:varyColors val="0"/>
        <c:ser>
          <c:idx val="0"/>
          <c:order val="0"/>
          <c:tx>
            <c:v>Estimated kW Shed</c:v>
          </c:tx>
          <c:spPr>
            <a:ln>
              <a:noFill/>
            </a:ln>
          </c:spPr>
          <c:marker>
            <c:symbol val="circle"/>
            <c:size val="7"/>
            <c:spPr>
              <a:solidFill>
                <a:schemeClr val="accent3"/>
              </a:solidFill>
              <a:ln cmpd="sng">
                <a:solidFill>
                  <a:schemeClr val="accent3"/>
                </a:solidFill>
              </a:ln>
            </c:spPr>
          </c:marker>
          <c:xVal>
            <c:numRef>
              <c:f>'User Inputs and DR Shed Results'!$B$36:$B$39</c:f>
            </c:numRef>
          </c:xVal>
          <c:yVal>
            <c:numRef>
              <c:f>'User Inputs and DR Shed Results'!$C$36:$C$39</c:f>
              <c:numCache/>
            </c:numRef>
          </c:yVal>
        </c:ser>
        <c:dLbls>
          <c:showLegendKey val="0"/>
          <c:showVal val="0"/>
          <c:showCatName val="0"/>
          <c:showSerName val="0"/>
          <c:showPercent val="0"/>
          <c:showBubbleSize val="0"/>
        </c:dLbls>
        <c:axId val="308459211"/>
        <c:axId val="754556135"/>
      </c:scatterChart>
      <c:valAx>
        <c:axId val="308459211"/>
        <c:scaling>
          <c:orientation val="minMax"/>
          <c:min val="60.0"/>
        </c:scaling>
        <c:delete val="0"/>
        <c:axPos val="b"/>
        <c:title>
          <c:tx>
            <c:rich>
              <a:bodyPr/>
              <a:lstStyle/>
              <a:p>
                <a:pPr lvl="0">
                  <a:defRPr b="1" i="0">
                    <a:solidFill>
                      <a:srgbClr val="000000"/>
                    </a:solidFill>
                    <a:latin typeface="+mn-lt"/>
                  </a:defRPr>
                </a:pPr>
                <a:r>
                  <a:rPr b="1" i="0">
                    <a:solidFill>
                      <a:srgbClr val="000000"/>
                    </a:solidFill>
                    <a:latin typeface="+mn-lt"/>
                  </a:rPr>
                  <a:t>Outside Air Temperature (°F)</a:t>
                </a:r>
              </a:p>
            </c:rich>
          </c:tx>
          <c:overlay val="0"/>
        </c:title>
        <c:numFmt formatCode="General" sourceLinked="1"/>
        <c:majorTickMark val="out"/>
        <c:minorTickMark val="none"/>
        <c:tickLblPos val="nextTo"/>
        <c:spPr>
          <a:ln/>
        </c:spPr>
        <c:txPr>
          <a:bodyPr/>
          <a:lstStyle/>
          <a:p>
            <a:pPr lvl="0">
              <a:defRPr b="0" i="0">
                <a:solidFill>
                  <a:srgbClr val="000000"/>
                </a:solidFill>
                <a:latin typeface="+mn-lt"/>
              </a:defRPr>
            </a:pPr>
          </a:p>
        </c:txPr>
        <c:crossAx val="754556135"/>
      </c:valAx>
      <c:valAx>
        <c:axId val="754556135"/>
        <c:scaling>
          <c:orientation val="minMax"/>
          <c:min val="0.0"/>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Load shed (kW)</a:t>
                </a:r>
              </a:p>
            </c:rich>
          </c:tx>
          <c:overlay val="0"/>
        </c:title>
        <c:numFmt formatCode="General" sourceLinked="1"/>
        <c:majorTickMark val="out"/>
        <c:minorTickMark val="none"/>
        <c:tickLblPos val="nextTo"/>
        <c:spPr>
          <a:ln/>
        </c:spPr>
        <c:txPr>
          <a:bodyPr/>
          <a:lstStyle/>
          <a:p>
            <a:pPr lvl="0">
              <a:defRPr b="0" i="0">
                <a:solidFill>
                  <a:srgbClr val="000000"/>
                </a:solidFill>
                <a:latin typeface="+mn-lt"/>
              </a:defRPr>
            </a:pPr>
          </a:p>
        </c:txPr>
        <c:crossAx val="308459211"/>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704850</xdr:colOff>
      <xdr:row>1</xdr:row>
      <xdr:rowOff>142875</xdr:rowOff>
    </xdr:from>
    <xdr:ext cx="9772650" cy="4695825"/>
    <xdr:pic>
      <xdr:nvPicPr>
        <xdr:cNvPr descr="ADR Tool V2.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40</xdr:row>
      <xdr:rowOff>180975</xdr:rowOff>
    </xdr:from>
    <xdr:ext cx="8639175" cy="4933950"/>
    <xdr:graphicFrame>
      <xdr:nvGraphicFramePr>
        <xdr:cNvPr id="232310765"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26" width="11.0"/>
  </cols>
  <sheetData>
    <row r="1" ht="15.75" customHeight="1">
      <c r="B1" s="1" t="s">
        <v>0</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c r="B27" s="2" t="s">
        <v>1</v>
      </c>
      <c r="C27" s="3"/>
      <c r="D27" s="3"/>
      <c r="E27" s="3"/>
      <c r="F27" s="3"/>
      <c r="G27" s="3"/>
      <c r="H27" s="3"/>
      <c r="I27" s="3"/>
      <c r="J27" s="3"/>
      <c r="K27" s="4"/>
    </row>
    <row r="28" ht="60.75" customHeight="1">
      <c r="B28" s="5" t="s">
        <v>2</v>
      </c>
      <c r="K28" s="6"/>
    </row>
    <row r="29" ht="60.75" customHeight="1">
      <c r="B29" s="7" t="s">
        <v>3</v>
      </c>
      <c r="K29" s="6"/>
    </row>
    <row r="30" ht="60.75" customHeight="1">
      <c r="B30" s="5" t="s">
        <v>4</v>
      </c>
      <c r="K30" s="6"/>
    </row>
    <row r="31" ht="60.75" customHeight="1">
      <c r="B31" s="5" t="s">
        <v>5</v>
      </c>
      <c r="K31" s="6"/>
    </row>
    <row r="32" ht="60.75" customHeight="1">
      <c r="B32" s="5" t="s">
        <v>6</v>
      </c>
      <c r="K32" s="6"/>
    </row>
    <row r="33" ht="53.25" customHeight="1">
      <c r="B33" s="8" t="s">
        <v>7</v>
      </c>
      <c r="C33" s="9"/>
      <c r="D33" s="9"/>
      <c r="E33" s="9"/>
      <c r="F33" s="9"/>
      <c r="G33" s="9"/>
      <c r="H33" s="9"/>
      <c r="I33" s="9"/>
      <c r="J33" s="9"/>
      <c r="K33" s="10"/>
    </row>
    <row r="34" ht="15.75" customHeight="1"/>
    <row r="35" ht="30.75" customHeight="1">
      <c r="B35" s="11" t="s">
        <v>8</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33:K33"/>
    <mergeCell ref="B35:K35"/>
    <mergeCell ref="B1:K1"/>
    <mergeCell ref="B27:K27"/>
    <mergeCell ref="B28:K28"/>
    <mergeCell ref="B29:K29"/>
    <mergeCell ref="B30:K30"/>
    <mergeCell ref="B31:K31"/>
    <mergeCell ref="B32:K32"/>
  </mergeCell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showGridLines="0" workbookViewId="0"/>
  </sheetViews>
  <sheetFormatPr customHeight="1" defaultColWidth="11.22" defaultRowHeight="15.0"/>
  <cols>
    <col customWidth="1" min="1" max="1" width="35.33"/>
    <col customWidth="1" min="2" max="2" width="23.44"/>
    <col customWidth="1" min="3" max="3" width="42.0"/>
    <col customWidth="1" min="4" max="4" width="13.78"/>
    <col customWidth="1" min="5" max="5" width="18.33"/>
    <col customWidth="1" min="6" max="26" width="11.0"/>
  </cols>
  <sheetData>
    <row r="1" ht="15.75" customHeight="1">
      <c r="B1" s="12"/>
    </row>
    <row r="2" ht="15.75" customHeight="1">
      <c r="A2" s="13" t="s">
        <v>9</v>
      </c>
      <c r="B2" s="14"/>
      <c r="C2" s="15"/>
    </row>
    <row r="3" ht="15.75" customHeight="1">
      <c r="A3" s="16" t="s">
        <v>10</v>
      </c>
      <c r="B3" s="17" t="s">
        <v>11</v>
      </c>
      <c r="C3" s="18" t="s">
        <v>12</v>
      </c>
    </row>
    <row r="4" ht="15.75" customHeight="1">
      <c r="A4" s="19" t="s">
        <v>13</v>
      </c>
      <c r="B4" s="20" t="s">
        <v>14</v>
      </c>
      <c r="C4" s="21"/>
    </row>
    <row r="5" ht="15.75" customHeight="1">
      <c r="A5" s="19" t="s">
        <v>15</v>
      </c>
      <c r="B5" s="22" t="s">
        <v>16</v>
      </c>
      <c r="C5" s="21"/>
    </row>
    <row r="6" ht="15.75" customHeight="1">
      <c r="A6" s="19" t="s">
        <v>17</v>
      </c>
      <c r="B6" s="20" t="s">
        <v>18</v>
      </c>
      <c r="C6" s="21"/>
    </row>
    <row r="7" ht="15.75" customHeight="1">
      <c r="A7" s="19" t="s">
        <v>19</v>
      </c>
      <c r="B7" s="20" t="s">
        <v>20</v>
      </c>
      <c r="C7" s="23" t="s">
        <v>21</v>
      </c>
    </row>
    <row r="8" ht="15.75" customHeight="1">
      <c r="A8" s="19" t="s">
        <v>22</v>
      </c>
      <c r="B8" s="24">
        <v>1778.0</v>
      </c>
      <c r="C8" s="21"/>
    </row>
    <row r="9" ht="15.75" customHeight="1">
      <c r="A9" s="19" t="s">
        <v>23</v>
      </c>
      <c r="B9" s="25" t="s">
        <v>24</v>
      </c>
      <c r="C9" s="21"/>
    </row>
    <row r="10" ht="15.75" customHeight="1">
      <c r="A10" s="26" t="s">
        <v>25</v>
      </c>
      <c r="B10" s="27">
        <v>240.0</v>
      </c>
      <c r="C10" s="28" t="s">
        <v>26</v>
      </c>
    </row>
    <row r="11" ht="15.75" customHeight="1">
      <c r="A11" s="29"/>
      <c r="B11" s="30"/>
      <c r="C11" s="31"/>
    </row>
    <row r="12" ht="15.75" customHeight="1">
      <c r="A12" s="29" t="s">
        <v>27</v>
      </c>
      <c r="B12" s="32" t="str">
        <f>IFERROR(VLOOKUP($B$8,'Climate Zones'!$A:$C,2,0),"")</f>
        <v>MIDDLESEX</v>
      </c>
      <c r="C12" s="31"/>
    </row>
    <row r="13" ht="15.75" customHeight="1">
      <c r="A13" s="29" t="s">
        <v>28</v>
      </c>
      <c r="B13" s="32" t="str">
        <f>IFERROR(VLOOKUP($B$8,'Climate Zones'!$A:$C,3,0),"")</f>
        <v>5A</v>
      </c>
      <c r="C13" s="31"/>
    </row>
    <row r="14" ht="15.75" customHeight="1">
      <c r="A14" s="29" t="s">
        <v>29</v>
      </c>
      <c r="B14" s="32" t="str">
        <f>IFERROR(VLOOKUP($B$8,'Climate Zones'!$A:$D,4,0),"")</f>
        <v>n/a</v>
      </c>
      <c r="C14" s="31"/>
    </row>
    <row r="15" ht="15.75" customHeight="1">
      <c r="A15" s="33" t="s">
        <v>30</v>
      </c>
      <c r="B15" s="34" t="str">
        <f>IF(B5="Office",IF(B10&lt;200,"SmallOffice",IF(AND(B10&gt;=200,B10&lt;500),"MediumOffice",IF(B10&gt;=500,"LargeOffice"))),IF(B10="Retail","Retail","SecondarySchool"))</f>
        <v>MediumOffice</v>
      </c>
      <c r="C15" s="35"/>
    </row>
    <row r="16" ht="15.75" customHeight="1">
      <c r="A16" s="36"/>
      <c r="B16" s="37"/>
      <c r="C16" s="38"/>
    </row>
    <row r="17" ht="27.0" customHeight="1">
      <c r="A17" s="13" t="s">
        <v>31</v>
      </c>
      <c r="B17" s="14"/>
      <c r="C17" s="15"/>
    </row>
    <row r="18" ht="15.75" customHeight="1">
      <c r="A18" s="39" t="s">
        <v>32</v>
      </c>
      <c r="B18" s="40" t="s">
        <v>33</v>
      </c>
      <c r="C18" s="41" t="s">
        <v>34</v>
      </c>
    </row>
    <row r="19" ht="15.75" customHeight="1">
      <c r="A19" s="42">
        <v>1.0</v>
      </c>
      <c r="B19" s="43">
        <v>100.0</v>
      </c>
      <c r="C19" s="44">
        <v>200.0</v>
      </c>
    </row>
    <row r="20" ht="15.75" customHeight="1">
      <c r="A20" s="42">
        <v>2.0</v>
      </c>
      <c r="B20" s="43">
        <v>98.0</v>
      </c>
      <c r="C20" s="44">
        <v>230.0</v>
      </c>
    </row>
    <row r="21" ht="15.75" customHeight="1">
      <c r="A21" s="42">
        <v>3.0</v>
      </c>
      <c r="B21" s="43">
        <v>87.0</v>
      </c>
      <c r="C21" s="44">
        <v>240.0</v>
      </c>
    </row>
    <row r="22" ht="15.75" customHeight="1">
      <c r="A22" s="43">
        <v>4.0</v>
      </c>
      <c r="B22" s="43">
        <v>87.0</v>
      </c>
      <c r="C22" s="44">
        <v>230.0</v>
      </c>
    </row>
    <row r="23" ht="15.75" customHeight="1">
      <c r="B23" s="37"/>
      <c r="C23" s="12"/>
    </row>
    <row r="24" ht="15.75" customHeight="1">
      <c r="A24" s="45" t="s">
        <v>35</v>
      </c>
      <c r="B24" s="46"/>
      <c r="C24" s="47"/>
    </row>
    <row r="25" ht="15.0" customHeight="1">
      <c r="A25" s="48" t="s">
        <v>36</v>
      </c>
      <c r="B25" s="14"/>
      <c r="C25" s="15"/>
    </row>
    <row r="26" ht="15.75" customHeight="1">
      <c r="A26" s="49" t="s">
        <v>37</v>
      </c>
      <c r="B26" s="50">
        <v>100.0</v>
      </c>
      <c r="C26" s="51"/>
    </row>
    <row r="27" ht="15.75" customHeight="1">
      <c r="A27" s="52" t="s">
        <v>38</v>
      </c>
      <c r="B27" s="53">
        <v>0.0</v>
      </c>
      <c r="C27" s="54"/>
    </row>
    <row r="28" ht="15.75" customHeight="1">
      <c r="A28" s="55" t="s">
        <v>39</v>
      </c>
      <c r="B28" s="56">
        <v>2.0</v>
      </c>
      <c r="C28" s="54"/>
    </row>
    <row r="29" ht="15.75" customHeight="1">
      <c r="A29" s="57" t="s">
        <v>40</v>
      </c>
      <c r="B29" s="58">
        <f>AVERAGE(C36:C38)*AvailPerc/100</f>
        <v>34.24859936</v>
      </c>
      <c r="C29" s="51"/>
    </row>
    <row r="30" ht="15.75" customHeight="1">
      <c r="A30" s="57" t="s">
        <v>41</v>
      </c>
      <c r="B30" s="58">
        <f>MIN(C36:C38)*AvailPerc/100</f>
        <v>25.06957375</v>
      </c>
      <c r="C30" s="51"/>
    </row>
    <row r="31" ht="15.75" customHeight="1">
      <c r="A31" s="59" t="s">
        <v>42</v>
      </c>
      <c r="B31" s="60">
        <f>MAX(C36:C38)*AvailPerc/100</f>
        <v>38.84550001</v>
      </c>
      <c r="C31" s="61"/>
    </row>
    <row r="32" ht="15.75" customHeight="1">
      <c r="A32" s="36"/>
      <c r="B32" s="62"/>
      <c r="C32" s="51"/>
    </row>
    <row r="33" ht="15.75" customHeight="1">
      <c r="A33" s="63"/>
      <c r="B33" s="64"/>
      <c r="C33" s="65"/>
    </row>
    <row r="34" ht="15.75" customHeight="1">
      <c r="A34" s="66" t="s">
        <v>43</v>
      </c>
      <c r="B34" s="67"/>
      <c r="C34" s="68"/>
    </row>
    <row r="35" ht="15.75" customHeight="1">
      <c r="A35" s="69" t="s">
        <v>32</v>
      </c>
      <c r="B35" s="70" t="s">
        <v>33</v>
      </c>
      <c r="C35" s="71" t="s">
        <v>44</v>
      </c>
      <c r="D35" s="72" t="s">
        <v>45</v>
      </c>
      <c r="E35" s="72" t="s">
        <v>46</v>
      </c>
    </row>
    <row r="36" ht="15.75" customHeight="1">
      <c r="A36" s="73">
        <f t="shared" ref="A36:B36" si="1">A19</f>
        <v>1</v>
      </c>
      <c r="B36" s="74">
        <f t="shared" si="1"/>
        <v>100</v>
      </c>
      <c r="C36" s="75">
        <f>'GTA Calculation'!P3</f>
        <v>38.83072432</v>
      </c>
      <c r="D36" s="76">
        <f>'GTA Calculation'!O3</f>
        <v>0.1941536216</v>
      </c>
      <c r="E36" s="77">
        <f>'GTA Calculation'!Q3</f>
        <v>0.6630590147</v>
      </c>
    </row>
    <row r="37" ht="15.75" customHeight="1">
      <c r="A37" s="73">
        <f t="shared" ref="A37:B37" si="2">A20</f>
        <v>2</v>
      </c>
      <c r="B37" s="74">
        <f t="shared" si="2"/>
        <v>98</v>
      </c>
      <c r="C37" s="75">
        <f>'GTA Calculation'!P4</f>
        <v>38.84550001</v>
      </c>
      <c r="D37" s="76">
        <f>'GTA Calculation'!O4</f>
        <v>0.1688934783</v>
      </c>
      <c r="E37" s="77">
        <f>'GTA Calculation'!Q4</f>
        <v>0.5514792978</v>
      </c>
    </row>
    <row r="38" ht="15.75" customHeight="1">
      <c r="A38" s="73">
        <f t="shared" ref="A38:B38" si="3">A21</f>
        <v>3</v>
      </c>
      <c r="B38" s="74">
        <f t="shared" si="3"/>
        <v>87</v>
      </c>
      <c r="C38" s="75">
        <f>'GTA Calculation'!P5</f>
        <v>25.06957375</v>
      </c>
      <c r="D38" s="76">
        <f>'GTA Calculation'!O5</f>
        <v>0.1044565573</v>
      </c>
      <c r="E38" s="77">
        <f>'GTA Calculation'!Q5</f>
        <v>0.3390792408</v>
      </c>
    </row>
    <row r="39" ht="15.75" customHeight="1">
      <c r="A39" s="73">
        <f t="shared" ref="A39:B39" si="4">A22</f>
        <v>4</v>
      </c>
      <c r="B39" s="74">
        <f t="shared" si="4"/>
        <v>87</v>
      </c>
      <c r="C39" s="75">
        <f>'GTA Calculation'!P6</f>
        <v>18.33557541</v>
      </c>
      <c r="D39" s="76">
        <f>'GTA Calculation'!O6</f>
        <v>0.0797198931</v>
      </c>
      <c r="E39" s="77">
        <f>'GTA Calculation'!Q6</f>
        <v>0.226913765</v>
      </c>
    </row>
    <row r="40" ht="15.75" customHeight="1">
      <c r="B40" s="12"/>
    </row>
    <row r="41" ht="15.75" customHeight="1">
      <c r="B41" s="12"/>
    </row>
    <row r="42" ht="15.75" customHeight="1">
      <c r="B42" s="12"/>
    </row>
    <row r="43" ht="15.0" customHeight="1">
      <c r="B43" s="12"/>
    </row>
    <row r="44" ht="15.75" customHeight="1">
      <c r="B44" s="12"/>
    </row>
    <row r="45" ht="15.75" customHeight="1">
      <c r="B45" s="12"/>
    </row>
    <row r="46" ht="15.75" customHeight="1">
      <c r="B46" s="12"/>
    </row>
    <row r="47" ht="15.75" customHeight="1">
      <c r="B47" s="12"/>
    </row>
    <row r="48" ht="15.75" customHeight="1">
      <c r="B48" s="12"/>
    </row>
    <row r="49" ht="15.75" customHeight="1">
      <c r="B49" s="12"/>
    </row>
    <row r="50" ht="15.75" customHeight="1">
      <c r="B50" s="12"/>
    </row>
    <row r="51" ht="15.75" customHeight="1">
      <c r="B51" s="12"/>
    </row>
    <row r="52" ht="15.75" customHeight="1">
      <c r="B52" s="12"/>
    </row>
    <row r="53" ht="15.75" customHeight="1">
      <c r="B53" s="12"/>
    </row>
    <row r="54" ht="15.75" customHeight="1">
      <c r="B54" s="12"/>
    </row>
    <row r="55" ht="15.75" customHeight="1">
      <c r="B55" s="12"/>
    </row>
    <row r="56" ht="15.75" customHeight="1">
      <c r="B56" s="12"/>
    </row>
    <row r="57" ht="15.75" customHeight="1">
      <c r="B57" s="12"/>
    </row>
    <row r="58" ht="15.75" customHeight="1">
      <c r="B58" s="12"/>
    </row>
    <row r="59" ht="15.75" customHeight="1">
      <c r="B59" s="12"/>
    </row>
    <row r="60" ht="15.75" customHeight="1">
      <c r="B60" s="12"/>
    </row>
    <row r="61" ht="15.75" customHeight="1">
      <c r="B61" s="12"/>
    </row>
    <row r="62" ht="15.75" customHeight="1">
      <c r="B62" s="12"/>
    </row>
    <row r="63" ht="15.75" customHeight="1">
      <c r="B63" s="12"/>
    </row>
    <row r="64" ht="15.75" customHeight="1">
      <c r="B64" s="12"/>
    </row>
    <row r="65" ht="15.75" customHeight="1">
      <c r="B65" s="12"/>
    </row>
    <row r="66" ht="15.75" customHeight="1">
      <c r="B66" s="12"/>
    </row>
    <row r="67" ht="15.75" customHeight="1">
      <c r="B67" s="12"/>
    </row>
    <row r="68" ht="15.75" customHeight="1">
      <c r="B68" s="12"/>
    </row>
    <row r="69" ht="15.75" customHeight="1">
      <c r="B69" s="12"/>
    </row>
    <row r="70" ht="15.75" customHeight="1">
      <c r="B70" s="12"/>
    </row>
    <row r="71" ht="15.75" customHeight="1">
      <c r="B71" s="12"/>
    </row>
    <row r="72" ht="15.75" customHeight="1">
      <c r="B72" s="12"/>
    </row>
    <row r="73" ht="15.75" customHeight="1">
      <c r="B73" s="12"/>
    </row>
    <row r="74" ht="15.75" customHeight="1">
      <c r="B74" s="12"/>
    </row>
    <row r="75" ht="15.75" customHeight="1">
      <c r="B75" s="12"/>
    </row>
    <row r="76" ht="15.75" customHeight="1">
      <c r="B76" s="12"/>
    </row>
    <row r="77" ht="15.75" customHeight="1">
      <c r="B77" s="12"/>
    </row>
    <row r="78" ht="15.75" customHeight="1">
      <c r="B78" s="12"/>
    </row>
    <row r="79" ht="15.75" customHeight="1">
      <c r="B79" s="12"/>
    </row>
    <row r="80" ht="15.75" customHeight="1">
      <c r="B80" s="12"/>
    </row>
    <row r="81" ht="15.75" customHeight="1">
      <c r="B81" s="12"/>
    </row>
    <row r="82" ht="15.75" customHeight="1">
      <c r="B82" s="12"/>
    </row>
    <row r="83" ht="15.75" customHeight="1">
      <c r="B83" s="12"/>
    </row>
    <row r="84" ht="15.75" customHeight="1">
      <c r="B84" s="12"/>
    </row>
    <row r="85" ht="15.75" customHeight="1">
      <c r="B85" s="12"/>
    </row>
    <row r="86" ht="15.75" customHeight="1">
      <c r="B86" s="12"/>
    </row>
    <row r="87" ht="15.75" customHeight="1">
      <c r="B87" s="12"/>
    </row>
    <row r="88" ht="15.75" customHeight="1">
      <c r="B88" s="12"/>
    </row>
    <row r="89" ht="15.75" customHeight="1">
      <c r="B89" s="12"/>
    </row>
    <row r="90" ht="15.75" customHeight="1">
      <c r="B90" s="12"/>
    </row>
    <row r="91" ht="15.75" customHeight="1">
      <c r="B91" s="12"/>
    </row>
    <row r="92" ht="15.75" customHeight="1">
      <c r="B92" s="12"/>
    </row>
    <row r="93" ht="15.75" customHeight="1">
      <c r="B93" s="12"/>
    </row>
    <row r="94" ht="15.75" customHeight="1">
      <c r="B94" s="12"/>
    </row>
    <row r="95" ht="15.75" customHeight="1">
      <c r="B95" s="12"/>
    </row>
    <row r="96" ht="15.75" customHeight="1">
      <c r="B96" s="12"/>
    </row>
    <row r="97" ht="15.75" customHeight="1">
      <c r="B97" s="12"/>
    </row>
    <row r="98" ht="15.75" customHeight="1">
      <c r="B98" s="12"/>
    </row>
    <row r="99" ht="15.75" customHeight="1">
      <c r="B99" s="12"/>
    </row>
    <row r="100" ht="15.75" customHeight="1">
      <c r="B100" s="12"/>
    </row>
    <row r="101" ht="15.75" customHeight="1">
      <c r="B101" s="12"/>
    </row>
    <row r="102" ht="15.75" customHeight="1">
      <c r="B102" s="12"/>
    </row>
    <row r="103" ht="15.75" customHeight="1">
      <c r="B103" s="12"/>
    </row>
    <row r="104" ht="15.75" customHeight="1">
      <c r="B104" s="12"/>
    </row>
    <row r="105" ht="15.75" customHeight="1">
      <c r="B105" s="12"/>
    </row>
    <row r="106" ht="15.75" customHeight="1">
      <c r="B106" s="12"/>
    </row>
    <row r="107" ht="15.75" customHeight="1">
      <c r="B107" s="12"/>
    </row>
    <row r="108" ht="15.75" customHeight="1">
      <c r="B108" s="12"/>
    </row>
    <row r="109" ht="15.75" customHeight="1">
      <c r="B109" s="12"/>
    </row>
    <row r="110" ht="15.75" customHeight="1">
      <c r="B110" s="12"/>
    </row>
    <row r="111" ht="15.75" customHeight="1">
      <c r="B111" s="12"/>
    </row>
    <row r="112" ht="15.75" customHeight="1">
      <c r="B112" s="12"/>
    </row>
    <row r="113" ht="15.75" customHeight="1">
      <c r="B113" s="12"/>
    </row>
    <row r="114" ht="15.75" customHeight="1">
      <c r="B114" s="12"/>
    </row>
    <row r="115" ht="15.75" customHeight="1">
      <c r="B115" s="12"/>
    </row>
    <row r="116" ht="15.75" customHeight="1">
      <c r="B116" s="12"/>
    </row>
    <row r="117" ht="15.75" customHeight="1">
      <c r="B117" s="12"/>
    </row>
    <row r="118" ht="15.75" customHeight="1">
      <c r="B118" s="12"/>
    </row>
    <row r="119" ht="15.75" customHeight="1">
      <c r="B119" s="12"/>
    </row>
    <row r="120" ht="15.75" customHeight="1">
      <c r="B120" s="12"/>
    </row>
    <row r="121" ht="15.75" customHeight="1">
      <c r="B121" s="12"/>
    </row>
    <row r="122" ht="15.75" customHeight="1">
      <c r="B122" s="12"/>
    </row>
    <row r="123" ht="15.75" customHeight="1">
      <c r="B123" s="12"/>
    </row>
    <row r="124" ht="15.75" customHeight="1">
      <c r="B124" s="12"/>
    </row>
    <row r="125" ht="15.75" customHeight="1">
      <c r="B125" s="12"/>
    </row>
    <row r="126" ht="15.75" customHeight="1">
      <c r="B126" s="12"/>
    </row>
    <row r="127" ht="15.75" customHeight="1">
      <c r="B127" s="12"/>
    </row>
    <row r="128" ht="15.75" customHeight="1">
      <c r="B128" s="12"/>
    </row>
    <row r="129" ht="15.75" customHeight="1">
      <c r="B129" s="12"/>
    </row>
    <row r="130" ht="15.75" customHeight="1">
      <c r="B130" s="12"/>
    </row>
    <row r="131" ht="15.75" customHeight="1">
      <c r="B131" s="12"/>
    </row>
    <row r="132" ht="15.75" customHeight="1">
      <c r="B132" s="12"/>
    </row>
    <row r="133" ht="15.75" customHeight="1">
      <c r="B133" s="12"/>
    </row>
    <row r="134" ht="15.75" customHeight="1">
      <c r="B134" s="12"/>
    </row>
    <row r="135" ht="15.75" customHeight="1">
      <c r="B135" s="12"/>
    </row>
    <row r="136" ht="15.75" customHeight="1">
      <c r="B136" s="12"/>
    </row>
    <row r="137" ht="15.75" customHeight="1">
      <c r="B137" s="12"/>
    </row>
    <row r="138" ht="15.75" customHeight="1">
      <c r="B138" s="12"/>
    </row>
    <row r="139" ht="15.75" customHeight="1">
      <c r="B139" s="12"/>
    </row>
    <row r="140" ht="15.75" customHeight="1">
      <c r="B140" s="12"/>
    </row>
    <row r="141" ht="15.75" customHeight="1">
      <c r="B141" s="12"/>
    </row>
    <row r="142" ht="15.75" customHeight="1">
      <c r="B142" s="12"/>
    </row>
    <row r="143" ht="15.75" customHeight="1">
      <c r="B143" s="12"/>
    </row>
    <row r="144" ht="15.75" customHeight="1">
      <c r="B144" s="12"/>
    </row>
    <row r="145" ht="15.75" customHeight="1">
      <c r="B145" s="12"/>
    </row>
    <row r="146" ht="15.75" customHeight="1">
      <c r="B146" s="12"/>
    </row>
    <row r="147" ht="15.75" customHeight="1">
      <c r="B147" s="12"/>
    </row>
    <row r="148" ht="15.75" customHeight="1">
      <c r="B148" s="12"/>
    </row>
    <row r="149" ht="15.75" customHeight="1">
      <c r="B149" s="12"/>
    </row>
    <row r="150" ht="15.75" customHeight="1">
      <c r="B150" s="12"/>
    </row>
    <row r="151" ht="15.75" customHeight="1">
      <c r="B151" s="12"/>
    </row>
    <row r="152" ht="15.75" customHeight="1">
      <c r="B152" s="12"/>
    </row>
    <row r="153" ht="15.75" customHeight="1">
      <c r="B153" s="12"/>
    </row>
    <row r="154" ht="15.75" customHeight="1">
      <c r="B154" s="12"/>
    </row>
    <row r="155" ht="15.75" customHeight="1">
      <c r="B155" s="12"/>
    </row>
    <row r="156" ht="15.75" customHeight="1">
      <c r="B156" s="12"/>
    </row>
    <row r="157" ht="15.75" customHeight="1">
      <c r="B157" s="12"/>
    </row>
    <row r="158" ht="15.75" customHeight="1">
      <c r="B158" s="12"/>
    </row>
    <row r="159" ht="15.75" customHeight="1">
      <c r="B159" s="12"/>
    </row>
    <row r="160" ht="15.75" customHeight="1">
      <c r="B160" s="12"/>
    </row>
    <row r="161" ht="15.75" customHeight="1">
      <c r="B161" s="12"/>
    </row>
    <row r="162" ht="15.75" customHeight="1">
      <c r="B162" s="12"/>
    </row>
    <row r="163" ht="15.75" customHeight="1">
      <c r="B163" s="12"/>
    </row>
    <row r="164" ht="15.75" customHeight="1">
      <c r="B164" s="12"/>
    </row>
    <row r="165" ht="15.75" customHeight="1">
      <c r="B165" s="12"/>
    </row>
    <row r="166" ht="15.75" customHeight="1">
      <c r="B166" s="12"/>
    </row>
    <row r="167" ht="15.75" customHeight="1">
      <c r="B167" s="12"/>
    </row>
    <row r="168" ht="15.75" customHeight="1">
      <c r="B168" s="12"/>
    </row>
    <row r="169" ht="15.75" customHeight="1">
      <c r="B169" s="12"/>
    </row>
    <row r="170" ht="15.75" customHeight="1">
      <c r="B170" s="12"/>
    </row>
    <row r="171" ht="15.75" customHeight="1">
      <c r="B171" s="12"/>
    </row>
    <row r="172" ht="15.75" customHeight="1">
      <c r="B172" s="12"/>
    </row>
    <row r="173" ht="15.75" customHeight="1">
      <c r="B173" s="12"/>
    </row>
    <row r="174" ht="15.75" customHeight="1">
      <c r="B174" s="12"/>
    </row>
    <row r="175" ht="15.75" customHeight="1">
      <c r="B175" s="12"/>
    </row>
    <row r="176" ht="15.75" customHeight="1">
      <c r="B176" s="12"/>
    </row>
    <row r="177" ht="15.75" customHeight="1">
      <c r="B177" s="12"/>
    </row>
    <row r="178" ht="15.75" customHeight="1">
      <c r="B178" s="12"/>
    </row>
    <row r="179" ht="15.75" customHeight="1">
      <c r="B179" s="12"/>
    </row>
    <row r="180" ht="15.75" customHeight="1">
      <c r="B180" s="12"/>
    </row>
    <row r="181" ht="15.75" customHeight="1">
      <c r="B181" s="12"/>
    </row>
    <row r="182" ht="15.75" customHeight="1">
      <c r="B182" s="12"/>
    </row>
    <row r="183" ht="15.75" customHeight="1">
      <c r="B183" s="12"/>
    </row>
    <row r="184" ht="15.75" customHeight="1">
      <c r="B184" s="12"/>
    </row>
    <row r="185" ht="15.75" customHeight="1">
      <c r="B185" s="12"/>
    </row>
    <row r="186" ht="15.75" customHeight="1">
      <c r="B186" s="12"/>
    </row>
    <row r="187" ht="15.75" customHeight="1">
      <c r="B187" s="12"/>
    </row>
    <row r="188" ht="15.75" customHeight="1">
      <c r="B188" s="12"/>
    </row>
    <row r="189" ht="15.75" customHeight="1">
      <c r="B189" s="12"/>
    </row>
    <row r="190" ht="15.75" customHeight="1">
      <c r="B190" s="12"/>
    </row>
    <row r="191" ht="15.75" customHeight="1">
      <c r="B191" s="12"/>
    </row>
    <row r="192" ht="15.75" customHeight="1">
      <c r="B192" s="12"/>
    </row>
    <row r="193" ht="15.75" customHeight="1">
      <c r="B193" s="12"/>
    </row>
    <row r="194" ht="15.75" customHeight="1">
      <c r="B194" s="12"/>
    </row>
    <row r="195" ht="15.75" customHeight="1">
      <c r="B195" s="12"/>
    </row>
    <row r="196" ht="15.75" customHeight="1">
      <c r="B196" s="12"/>
    </row>
    <row r="197" ht="15.75" customHeight="1">
      <c r="B197" s="12"/>
    </row>
    <row r="198" ht="15.75" customHeight="1">
      <c r="B198" s="12"/>
    </row>
    <row r="199" ht="15.75" customHeight="1">
      <c r="B199" s="12"/>
    </row>
    <row r="200" ht="15.75" customHeight="1">
      <c r="B200" s="12"/>
    </row>
    <row r="201" ht="15.75" customHeight="1">
      <c r="B201" s="12"/>
    </row>
    <row r="202" ht="15.75" customHeight="1">
      <c r="B202" s="12"/>
    </row>
    <row r="203" ht="15.75" customHeight="1">
      <c r="B203" s="12"/>
    </row>
    <row r="204" ht="15.75" customHeight="1">
      <c r="B204" s="12"/>
    </row>
    <row r="205" ht="15.75" customHeight="1">
      <c r="B205" s="12"/>
    </row>
    <row r="206" ht="15.75" customHeight="1">
      <c r="B206" s="12"/>
    </row>
    <row r="207" ht="15.75" customHeight="1">
      <c r="B207" s="12"/>
    </row>
    <row r="208" ht="15.75" customHeight="1">
      <c r="B208" s="12"/>
    </row>
    <row r="209" ht="15.75" customHeight="1">
      <c r="B209" s="12"/>
    </row>
    <row r="210" ht="15.75" customHeight="1">
      <c r="B210" s="12"/>
    </row>
    <row r="211" ht="15.75" customHeight="1">
      <c r="B211" s="12"/>
    </row>
    <row r="212" ht="15.75" customHeight="1">
      <c r="B212" s="12"/>
    </row>
    <row r="213" ht="15.75" customHeight="1">
      <c r="B213" s="12"/>
    </row>
    <row r="214" ht="15.75" customHeight="1">
      <c r="B214" s="12"/>
    </row>
    <row r="215" ht="15.75" customHeight="1">
      <c r="B215" s="12"/>
    </row>
    <row r="216" ht="15.75" customHeight="1">
      <c r="B216" s="12"/>
    </row>
    <row r="217" ht="15.75" customHeight="1">
      <c r="B217" s="12"/>
    </row>
    <row r="218" ht="15.75" customHeight="1">
      <c r="B218" s="12"/>
    </row>
    <row r="219" ht="15.75" customHeight="1">
      <c r="B219" s="12"/>
    </row>
    <row r="220" ht="15.75" customHeight="1">
      <c r="B220" s="12"/>
    </row>
    <row r="221" ht="15.75" customHeight="1">
      <c r="B221" s="12"/>
    </row>
    <row r="222" ht="15.75" customHeight="1">
      <c r="B222" s="12"/>
    </row>
    <row r="223" ht="15.75" customHeight="1">
      <c r="B223" s="12"/>
    </row>
    <row r="224" ht="15.75" customHeight="1">
      <c r="B224" s="12"/>
    </row>
    <row r="225" ht="15.75" customHeight="1">
      <c r="B225" s="12"/>
    </row>
    <row r="226" ht="15.75" customHeight="1">
      <c r="B226" s="12"/>
    </row>
    <row r="227" ht="15.75" customHeight="1">
      <c r="B227" s="12"/>
    </row>
    <row r="228" ht="15.75" customHeight="1">
      <c r="B228" s="12"/>
    </row>
    <row r="229" ht="15.75" customHeight="1">
      <c r="B229" s="12"/>
    </row>
    <row r="230" ht="15.75" customHeight="1">
      <c r="B230" s="12"/>
    </row>
    <row r="231" ht="15.75" customHeight="1">
      <c r="B231" s="12"/>
    </row>
    <row r="232" ht="15.75" customHeight="1">
      <c r="B232" s="12"/>
    </row>
    <row r="233" ht="15.75" customHeight="1">
      <c r="B233" s="12"/>
    </row>
    <row r="234" ht="15.75" customHeight="1">
      <c r="B234" s="12"/>
    </row>
    <row r="235" ht="15.75" customHeight="1">
      <c r="B235" s="12"/>
    </row>
    <row r="236" ht="15.75" customHeight="1">
      <c r="B236" s="12"/>
    </row>
    <row r="237" ht="15.75" customHeight="1">
      <c r="B237" s="12"/>
    </row>
    <row r="238" ht="15.75" customHeight="1">
      <c r="B238" s="12"/>
    </row>
    <row r="239" ht="15.75" customHeight="1">
      <c r="B239" s="12"/>
    </row>
    <row r="240" ht="15.75" customHeight="1">
      <c r="B240" s="12"/>
    </row>
    <row r="241" ht="15.75" customHeight="1">
      <c r="B241" s="12"/>
    </row>
    <row r="242" ht="15.75" customHeight="1">
      <c r="B242" s="12"/>
    </row>
    <row r="243" ht="15.75" customHeight="1">
      <c r="B243" s="12"/>
    </row>
    <row r="244" ht="15.75" customHeight="1">
      <c r="B244" s="12"/>
    </row>
    <row r="245" ht="15.75" customHeight="1">
      <c r="B245" s="12"/>
    </row>
    <row r="246" ht="15.75" customHeight="1">
      <c r="B246" s="12"/>
    </row>
    <row r="247" ht="15.75" customHeight="1">
      <c r="B247" s="12"/>
    </row>
    <row r="248" ht="15.75" customHeight="1">
      <c r="B248" s="12"/>
    </row>
    <row r="249" ht="15.75" customHeight="1">
      <c r="B249" s="12"/>
    </row>
    <row r="250" ht="15.75" customHeight="1">
      <c r="B250" s="12"/>
    </row>
    <row r="251" ht="15.75" customHeight="1">
      <c r="B251" s="12"/>
    </row>
    <row r="252" ht="15.75" customHeight="1">
      <c r="B252" s="12"/>
    </row>
    <row r="253" ht="15.75" customHeight="1">
      <c r="B253" s="12"/>
    </row>
    <row r="254" ht="15.75" customHeight="1">
      <c r="B254" s="12"/>
    </row>
    <row r="255" ht="15.75" customHeight="1">
      <c r="B255" s="12"/>
    </row>
    <row r="256" ht="15.75" customHeight="1">
      <c r="B256" s="12"/>
    </row>
    <row r="257" ht="15.75" customHeight="1">
      <c r="B257" s="12"/>
    </row>
    <row r="258" ht="15.75" customHeight="1">
      <c r="B258" s="12"/>
    </row>
    <row r="259" ht="15.75" customHeight="1">
      <c r="B259" s="12"/>
    </row>
    <row r="260" ht="15.75" customHeight="1">
      <c r="B260" s="12"/>
    </row>
    <row r="261" ht="15.75" customHeight="1">
      <c r="B261" s="12"/>
    </row>
    <row r="262" ht="15.75" customHeight="1">
      <c r="B262" s="12"/>
    </row>
    <row r="263" ht="15.75" customHeight="1">
      <c r="B263" s="12"/>
    </row>
    <row r="264" ht="15.75" customHeight="1">
      <c r="B264" s="12"/>
    </row>
    <row r="265" ht="15.75" customHeight="1">
      <c r="B265" s="12"/>
    </row>
    <row r="266" ht="15.75" customHeight="1">
      <c r="B266" s="12"/>
    </row>
    <row r="267" ht="15.75" customHeight="1">
      <c r="B267" s="12"/>
    </row>
    <row r="268" ht="15.75" customHeight="1">
      <c r="B268" s="12"/>
    </row>
    <row r="269" ht="15.75" customHeight="1">
      <c r="B269" s="12"/>
    </row>
    <row r="270" ht="15.75" customHeight="1">
      <c r="B270" s="12"/>
    </row>
    <row r="271" ht="15.75" customHeight="1">
      <c r="B271" s="12"/>
    </row>
    <row r="272" ht="15.75" customHeight="1">
      <c r="B272" s="12"/>
    </row>
    <row r="273" ht="15.75" customHeight="1">
      <c r="B273" s="12"/>
    </row>
    <row r="274" ht="15.75" customHeight="1">
      <c r="B274" s="12"/>
    </row>
    <row r="275" ht="15.75" customHeight="1">
      <c r="B275" s="12"/>
    </row>
    <row r="276" ht="15.75" customHeight="1">
      <c r="B276" s="12"/>
    </row>
    <row r="277" ht="15.75" customHeight="1">
      <c r="B277" s="12"/>
    </row>
    <row r="278" ht="15.75" customHeight="1">
      <c r="B278" s="12"/>
    </row>
    <row r="279" ht="15.75" customHeight="1">
      <c r="B279" s="12"/>
    </row>
    <row r="280" ht="15.75" customHeight="1">
      <c r="B280" s="12"/>
    </row>
    <row r="281" ht="15.75" customHeight="1">
      <c r="B281" s="12"/>
    </row>
    <row r="282" ht="15.75" customHeight="1">
      <c r="B282" s="12"/>
    </row>
    <row r="283" ht="15.75" customHeight="1">
      <c r="B283" s="12"/>
    </row>
    <row r="284" ht="15.75" customHeight="1">
      <c r="B284" s="12"/>
    </row>
    <row r="285" ht="15.75" customHeight="1">
      <c r="B285" s="12"/>
    </row>
    <row r="286" ht="15.75" customHeight="1">
      <c r="B286" s="12"/>
    </row>
    <row r="287" ht="15.75" customHeight="1">
      <c r="B287" s="12"/>
    </row>
    <row r="288" ht="15.75" customHeight="1">
      <c r="B288" s="12"/>
    </row>
    <row r="289" ht="15.75" customHeight="1">
      <c r="B289" s="12"/>
    </row>
    <row r="290" ht="15.75" customHeight="1">
      <c r="B290" s="12"/>
    </row>
    <row r="291" ht="15.75" customHeight="1">
      <c r="B291" s="12"/>
    </row>
    <row r="292" ht="15.75" customHeight="1">
      <c r="B292" s="12"/>
    </row>
    <row r="293" ht="15.75" customHeight="1">
      <c r="B293" s="12"/>
    </row>
    <row r="294" ht="15.75" customHeight="1">
      <c r="B294" s="12"/>
    </row>
    <row r="295" ht="15.75" customHeight="1">
      <c r="B295" s="12"/>
    </row>
    <row r="296" ht="15.75" customHeight="1">
      <c r="B296" s="12"/>
    </row>
    <row r="297" ht="15.75" customHeight="1">
      <c r="B297" s="12"/>
    </row>
    <row r="298" ht="15.75" customHeight="1">
      <c r="B298" s="12"/>
    </row>
    <row r="299" ht="15.75" customHeight="1">
      <c r="B299" s="12"/>
    </row>
    <row r="300" ht="15.75" customHeight="1">
      <c r="B300" s="12"/>
    </row>
    <row r="301" ht="15.75" customHeight="1">
      <c r="B301" s="12"/>
    </row>
    <row r="302" ht="15.75" customHeight="1">
      <c r="B302" s="12"/>
    </row>
    <row r="303" ht="15.75" customHeight="1">
      <c r="B303" s="12"/>
    </row>
    <row r="304" ht="15.75" customHeight="1">
      <c r="B304" s="12"/>
    </row>
    <row r="305" ht="15.75" customHeight="1">
      <c r="B305" s="12"/>
    </row>
    <row r="306" ht="15.75" customHeight="1">
      <c r="B306" s="12"/>
    </row>
    <row r="307" ht="15.75" customHeight="1">
      <c r="B307" s="12"/>
    </row>
    <row r="308" ht="15.75" customHeight="1">
      <c r="B308" s="12"/>
    </row>
    <row r="309" ht="15.75" customHeight="1">
      <c r="B309" s="12"/>
    </row>
    <row r="310" ht="15.75" customHeight="1">
      <c r="B310" s="12"/>
    </row>
    <row r="311" ht="15.75" customHeight="1">
      <c r="B311" s="12"/>
    </row>
    <row r="312" ht="15.75" customHeight="1">
      <c r="B312" s="12"/>
    </row>
    <row r="313" ht="15.75" customHeight="1">
      <c r="B313" s="12"/>
    </row>
    <row r="314" ht="15.75" customHeight="1">
      <c r="B314" s="12"/>
    </row>
    <row r="315" ht="15.75" customHeight="1">
      <c r="B315" s="12"/>
    </row>
    <row r="316" ht="15.75" customHeight="1">
      <c r="B316" s="12"/>
    </row>
    <row r="317" ht="15.75" customHeight="1">
      <c r="B317" s="12"/>
    </row>
    <row r="318" ht="15.75" customHeight="1">
      <c r="B318" s="12"/>
    </row>
    <row r="319" ht="15.75" customHeight="1">
      <c r="B319" s="12"/>
    </row>
    <row r="320" ht="15.75" customHeight="1">
      <c r="B320" s="12"/>
    </row>
    <row r="321" ht="15.75" customHeight="1">
      <c r="B321" s="12"/>
    </row>
    <row r="322" ht="15.75" customHeight="1">
      <c r="B322" s="12"/>
    </row>
    <row r="323" ht="15.75" customHeight="1">
      <c r="B323" s="12"/>
    </row>
    <row r="324" ht="15.75" customHeight="1">
      <c r="B324" s="12"/>
    </row>
    <row r="325" ht="15.75" customHeight="1">
      <c r="B325" s="12"/>
    </row>
    <row r="326" ht="15.75" customHeight="1">
      <c r="B326" s="12"/>
    </row>
    <row r="327" ht="15.75" customHeight="1">
      <c r="B327" s="12"/>
    </row>
    <row r="328" ht="15.75" customHeight="1">
      <c r="B328" s="12"/>
    </row>
    <row r="329" ht="15.75" customHeight="1">
      <c r="B329" s="12"/>
    </row>
    <row r="330" ht="15.75" customHeight="1">
      <c r="B330" s="12"/>
    </row>
    <row r="331" ht="15.75" customHeight="1">
      <c r="B331" s="12"/>
    </row>
    <row r="332" ht="15.75" customHeight="1">
      <c r="B332" s="12"/>
    </row>
    <row r="333" ht="15.75" customHeight="1">
      <c r="B333" s="12"/>
    </row>
    <row r="334" ht="15.75" customHeight="1">
      <c r="B334" s="12"/>
    </row>
    <row r="335" ht="15.75" customHeight="1">
      <c r="B335" s="12"/>
    </row>
    <row r="336" ht="15.75" customHeight="1">
      <c r="B336" s="12"/>
    </row>
    <row r="337" ht="15.75" customHeight="1">
      <c r="B337" s="12"/>
    </row>
    <row r="338" ht="15.75" customHeight="1">
      <c r="B338" s="12"/>
    </row>
    <row r="339" ht="15.75" customHeight="1">
      <c r="B339" s="12"/>
    </row>
    <row r="340" ht="15.75" customHeight="1">
      <c r="B340" s="12"/>
    </row>
    <row r="341" ht="15.75" customHeight="1">
      <c r="B341" s="12"/>
    </row>
    <row r="342" ht="15.75" customHeight="1">
      <c r="B342" s="12"/>
    </row>
    <row r="343" ht="15.75" customHeight="1">
      <c r="B343" s="12"/>
    </row>
    <row r="344" ht="15.75" customHeight="1">
      <c r="B344" s="12"/>
    </row>
    <row r="345" ht="15.75" customHeight="1">
      <c r="B345" s="12"/>
    </row>
    <row r="346" ht="15.75" customHeight="1">
      <c r="B346" s="12"/>
    </row>
    <row r="347" ht="15.75" customHeight="1">
      <c r="B347" s="12"/>
    </row>
    <row r="348" ht="15.75" customHeight="1">
      <c r="B348" s="12"/>
    </row>
    <row r="349" ht="15.75" customHeight="1">
      <c r="B349" s="12"/>
    </row>
    <row r="350" ht="15.75" customHeight="1">
      <c r="B350" s="12"/>
    </row>
    <row r="351" ht="15.75" customHeight="1">
      <c r="B351" s="12"/>
    </row>
    <row r="352" ht="15.75" customHeight="1">
      <c r="B352" s="12"/>
    </row>
    <row r="353" ht="15.75" customHeight="1">
      <c r="B353" s="12"/>
    </row>
    <row r="354" ht="15.75" customHeight="1">
      <c r="B354" s="12"/>
    </row>
    <row r="355" ht="15.75" customHeight="1">
      <c r="B355" s="12"/>
    </row>
    <row r="356" ht="15.75" customHeight="1">
      <c r="B356" s="12"/>
    </row>
    <row r="357" ht="15.75" customHeight="1">
      <c r="B357" s="12"/>
    </row>
    <row r="358" ht="15.75" customHeight="1">
      <c r="B358" s="12"/>
    </row>
    <row r="359" ht="15.75" customHeight="1">
      <c r="B359" s="12"/>
    </row>
    <row r="360" ht="15.75" customHeight="1">
      <c r="B360" s="12"/>
    </row>
    <row r="361" ht="15.75" customHeight="1">
      <c r="B361" s="12"/>
    </row>
    <row r="362" ht="15.75" customHeight="1">
      <c r="B362" s="12"/>
    </row>
    <row r="363" ht="15.75" customHeight="1">
      <c r="B363" s="12"/>
    </row>
    <row r="364" ht="15.75" customHeight="1">
      <c r="B364" s="12"/>
    </row>
    <row r="365" ht="15.75" customHeight="1">
      <c r="B365" s="12"/>
    </row>
    <row r="366" ht="15.75" customHeight="1">
      <c r="B366" s="12"/>
    </row>
    <row r="367" ht="15.75" customHeight="1">
      <c r="B367" s="12"/>
    </row>
    <row r="368" ht="15.75" customHeight="1">
      <c r="B368" s="12"/>
    </row>
    <row r="369" ht="15.75" customHeight="1">
      <c r="B369" s="12"/>
    </row>
    <row r="370" ht="15.75" customHeight="1">
      <c r="B370" s="12"/>
    </row>
    <row r="371" ht="15.75" customHeight="1">
      <c r="B371" s="12"/>
    </row>
    <row r="372" ht="15.75" customHeight="1">
      <c r="B372" s="12"/>
    </row>
    <row r="373" ht="15.75" customHeight="1">
      <c r="B373" s="12"/>
    </row>
    <row r="374" ht="15.75" customHeight="1">
      <c r="B374" s="12"/>
    </row>
    <row r="375" ht="15.75" customHeight="1">
      <c r="B375" s="12"/>
    </row>
    <row r="376" ht="15.75" customHeight="1">
      <c r="B376" s="12"/>
    </row>
    <row r="377" ht="15.75" customHeight="1">
      <c r="B377" s="12"/>
    </row>
    <row r="378" ht="15.75" customHeight="1">
      <c r="B378" s="12"/>
    </row>
    <row r="379" ht="15.75" customHeight="1">
      <c r="B379" s="12"/>
    </row>
    <row r="380" ht="15.75" customHeight="1">
      <c r="B380" s="12"/>
    </row>
    <row r="381" ht="15.75" customHeight="1">
      <c r="B381" s="12"/>
    </row>
    <row r="382" ht="15.75" customHeight="1">
      <c r="B382" s="12"/>
    </row>
    <row r="383" ht="15.75" customHeight="1">
      <c r="B383" s="12"/>
    </row>
    <row r="384" ht="15.75" customHeight="1">
      <c r="B384" s="12"/>
    </row>
    <row r="385" ht="15.75" customHeight="1">
      <c r="B385" s="12"/>
    </row>
    <row r="386" ht="15.75" customHeight="1">
      <c r="B386" s="12"/>
    </row>
    <row r="387" ht="15.75" customHeight="1">
      <c r="B387" s="12"/>
    </row>
    <row r="388" ht="15.75" customHeight="1">
      <c r="B388" s="12"/>
    </row>
    <row r="389" ht="15.75" customHeight="1">
      <c r="B389" s="12"/>
    </row>
    <row r="390" ht="15.75" customHeight="1">
      <c r="B390" s="12"/>
    </row>
    <row r="391" ht="15.75" customHeight="1">
      <c r="B391" s="12"/>
    </row>
    <row r="392" ht="15.75" customHeight="1">
      <c r="B392" s="12"/>
    </row>
    <row r="393" ht="15.75" customHeight="1">
      <c r="B393" s="12"/>
    </row>
    <row r="394" ht="15.75" customHeight="1">
      <c r="B394" s="12"/>
    </row>
    <row r="395" ht="15.75" customHeight="1">
      <c r="B395" s="12"/>
    </row>
    <row r="396" ht="15.75" customHeight="1">
      <c r="B396" s="12"/>
    </row>
    <row r="397" ht="15.75" customHeight="1">
      <c r="B397" s="12"/>
    </row>
    <row r="398" ht="15.75" customHeight="1">
      <c r="B398" s="12"/>
    </row>
    <row r="399" ht="15.75" customHeight="1">
      <c r="B399" s="12"/>
    </row>
    <row r="400" ht="15.75" customHeight="1">
      <c r="B400" s="12"/>
    </row>
    <row r="401" ht="15.75" customHeight="1">
      <c r="B401" s="12"/>
    </row>
    <row r="402" ht="15.75" customHeight="1">
      <c r="B402" s="12"/>
    </row>
    <row r="403" ht="15.75" customHeight="1">
      <c r="B403" s="12"/>
    </row>
    <row r="404" ht="15.75" customHeight="1">
      <c r="B404" s="12"/>
    </row>
    <row r="405" ht="15.75" customHeight="1">
      <c r="B405" s="12"/>
    </row>
    <row r="406" ht="15.75" customHeight="1">
      <c r="B406" s="12"/>
    </row>
    <row r="407" ht="15.75" customHeight="1">
      <c r="B407" s="12"/>
    </row>
    <row r="408" ht="15.75" customHeight="1">
      <c r="B408" s="12"/>
    </row>
    <row r="409" ht="15.75" customHeight="1">
      <c r="B409" s="12"/>
    </row>
    <row r="410" ht="15.75" customHeight="1">
      <c r="B410" s="12"/>
    </row>
    <row r="411" ht="15.75" customHeight="1">
      <c r="B411" s="12"/>
    </row>
    <row r="412" ht="15.75" customHeight="1">
      <c r="B412" s="12"/>
    </row>
    <row r="413" ht="15.75" customHeight="1">
      <c r="B413" s="12"/>
    </row>
    <row r="414" ht="15.75" customHeight="1">
      <c r="B414" s="12"/>
    </row>
    <row r="415" ht="15.75" customHeight="1">
      <c r="B415" s="12"/>
    </row>
    <row r="416" ht="15.75" customHeight="1">
      <c r="B416" s="12"/>
    </row>
    <row r="417" ht="15.75" customHeight="1">
      <c r="B417" s="12"/>
    </row>
    <row r="418" ht="15.75" customHeight="1">
      <c r="B418" s="12"/>
    </row>
    <row r="419" ht="15.75" customHeight="1">
      <c r="B419" s="12"/>
    </row>
    <row r="420" ht="15.75" customHeight="1">
      <c r="B420" s="12"/>
    </row>
    <row r="421" ht="15.75" customHeight="1">
      <c r="B421" s="12"/>
    </row>
    <row r="422" ht="15.75" customHeight="1">
      <c r="B422" s="12"/>
    </row>
    <row r="423" ht="15.75" customHeight="1">
      <c r="B423" s="12"/>
    </row>
    <row r="424" ht="15.75" customHeight="1">
      <c r="B424" s="12"/>
    </row>
    <row r="425" ht="15.75" customHeight="1">
      <c r="B425" s="12"/>
    </row>
    <row r="426" ht="15.75" customHeight="1">
      <c r="B426" s="12"/>
    </row>
    <row r="427" ht="15.75" customHeight="1">
      <c r="B427" s="12"/>
    </row>
    <row r="428" ht="15.75" customHeight="1">
      <c r="B428" s="12"/>
    </row>
    <row r="429" ht="15.75" customHeight="1">
      <c r="B429" s="12"/>
    </row>
    <row r="430" ht="15.75" customHeight="1">
      <c r="B430" s="12"/>
    </row>
    <row r="431" ht="15.75" customHeight="1">
      <c r="B431" s="12"/>
    </row>
    <row r="432" ht="15.75" customHeight="1">
      <c r="B432" s="12"/>
    </row>
    <row r="433" ht="15.75" customHeight="1">
      <c r="B433" s="12"/>
    </row>
    <row r="434" ht="15.75" customHeight="1">
      <c r="B434" s="12"/>
    </row>
    <row r="435" ht="15.75" customHeight="1">
      <c r="B435" s="12"/>
    </row>
    <row r="436" ht="15.75" customHeight="1">
      <c r="B436" s="12"/>
    </row>
    <row r="437" ht="15.75" customHeight="1">
      <c r="B437" s="12"/>
    </row>
    <row r="438" ht="15.75" customHeight="1">
      <c r="B438" s="12"/>
    </row>
    <row r="439" ht="15.75" customHeight="1">
      <c r="B439" s="12"/>
    </row>
    <row r="440" ht="15.75" customHeight="1">
      <c r="B440" s="12"/>
    </row>
    <row r="441" ht="15.75" customHeight="1">
      <c r="B441" s="12"/>
    </row>
    <row r="442" ht="15.75" customHeight="1">
      <c r="B442" s="12"/>
    </row>
    <row r="443" ht="15.75" customHeight="1">
      <c r="B443" s="12"/>
    </row>
    <row r="444" ht="15.75" customHeight="1">
      <c r="B444" s="12"/>
    </row>
    <row r="445" ht="15.75" customHeight="1">
      <c r="B445" s="12"/>
    </row>
    <row r="446" ht="15.75" customHeight="1">
      <c r="B446" s="12"/>
    </row>
    <row r="447" ht="15.75" customHeight="1">
      <c r="B447" s="12"/>
    </row>
    <row r="448" ht="15.75" customHeight="1">
      <c r="B448" s="12"/>
    </row>
    <row r="449" ht="15.75" customHeight="1">
      <c r="B449" s="12"/>
    </row>
    <row r="450" ht="15.75" customHeight="1">
      <c r="B450" s="12"/>
    </row>
    <row r="451" ht="15.75" customHeight="1">
      <c r="B451" s="12"/>
    </row>
    <row r="452" ht="15.75" customHeight="1">
      <c r="B452" s="12"/>
    </row>
    <row r="453" ht="15.75" customHeight="1">
      <c r="B453" s="12"/>
    </row>
    <row r="454" ht="15.75" customHeight="1">
      <c r="B454" s="12"/>
    </row>
    <row r="455" ht="15.75" customHeight="1">
      <c r="B455" s="12"/>
    </row>
    <row r="456" ht="15.75" customHeight="1">
      <c r="B456" s="12"/>
    </row>
    <row r="457" ht="15.75" customHeight="1">
      <c r="B457" s="12"/>
    </row>
    <row r="458" ht="15.75" customHeight="1">
      <c r="B458" s="12"/>
    </row>
    <row r="459" ht="15.75" customHeight="1">
      <c r="B459" s="12"/>
    </row>
    <row r="460" ht="15.75" customHeight="1">
      <c r="B460" s="12"/>
    </row>
    <row r="461" ht="15.75" customHeight="1">
      <c r="B461" s="12"/>
    </row>
    <row r="462" ht="15.75" customHeight="1">
      <c r="B462" s="12"/>
    </row>
    <row r="463" ht="15.75" customHeight="1">
      <c r="B463" s="12"/>
    </row>
    <row r="464" ht="15.75" customHeight="1">
      <c r="B464" s="12"/>
    </row>
    <row r="465" ht="15.75" customHeight="1">
      <c r="B465" s="12"/>
    </row>
    <row r="466" ht="15.75" customHeight="1">
      <c r="B466" s="12"/>
    </row>
    <row r="467" ht="15.75" customHeight="1">
      <c r="B467" s="12"/>
    </row>
    <row r="468" ht="15.75" customHeight="1">
      <c r="B468" s="12"/>
    </row>
    <row r="469" ht="15.75" customHeight="1">
      <c r="B469" s="12"/>
    </row>
    <row r="470" ht="15.75" customHeight="1">
      <c r="B470" s="12"/>
    </row>
    <row r="471" ht="15.75" customHeight="1">
      <c r="B471" s="12"/>
    </row>
    <row r="472" ht="15.75" customHeight="1">
      <c r="B472" s="12"/>
    </row>
    <row r="473" ht="15.75" customHeight="1">
      <c r="B473" s="12"/>
    </row>
    <row r="474" ht="15.75" customHeight="1">
      <c r="B474" s="12"/>
    </row>
    <row r="475" ht="15.75" customHeight="1">
      <c r="B475" s="12"/>
    </row>
    <row r="476" ht="15.75" customHeight="1">
      <c r="B476" s="12"/>
    </row>
    <row r="477" ht="15.75" customHeight="1">
      <c r="B477" s="12"/>
    </row>
    <row r="478" ht="15.75" customHeight="1">
      <c r="B478" s="12"/>
    </row>
    <row r="479" ht="15.75" customHeight="1">
      <c r="B479" s="12"/>
    </row>
    <row r="480" ht="15.75" customHeight="1">
      <c r="B480" s="12"/>
    </row>
    <row r="481" ht="15.75" customHeight="1">
      <c r="B481" s="12"/>
    </row>
    <row r="482" ht="15.75" customHeight="1">
      <c r="B482" s="12"/>
    </row>
    <row r="483" ht="15.75" customHeight="1">
      <c r="B483" s="12"/>
    </row>
    <row r="484" ht="15.75" customHeight="1">
      <c r="B484" s="12"/>
    </row>
    <row r="485" ht="15.75" customHeight="1">
      <c r="B485" s="12"/>
    </row>
    <row r="486" ht="15.75" customHeight="1">
      <c r="B486" s="12"/>
    </row>
    <row r="487" ht="15.75" customHeight="1">
      <c r="B487" s="12"/>
    </row>
    <row r="488" ht="15.75" customHeight="1">
      <c r="B488" s="12"/>
    </row>
    <row r="489" ht="15.75" customHeight="1">
      <c r="B489" s="12"/>
    </row>
    <row r="490" ht="15.75" customHeight="1">
      <c r="B490" s="12"/>
    </row>
    <row r="491" ht="15.75" customHeight="1">
      <c r="B491" s="12"/>
    </row>
    <row r="492" ht="15.75" customHeight="1">
      <c r="B492" s="12"/>
    </row>
    <row r="493" ht="15.75" customHeight="1">
      <c r="B493" s="12"/>
    </row>
    <row r="494" ht="15.75" customHeight="1">
      <c r="B494" s="12"/>
    </row>
    <row r="495" ht="15.75" customHeight="1">
      <c r="B495" s="12"/>
    </row>
    <row r="496" ht="15.75" customHeight="1">
      <c r="B496" s="12"/>
    </row>
    <row r="497" ht="15.75" customHeight="1">
      <c r="B497" s="12"/>
    </row>
    <row r="498" ht="15.75" customHeight="1">
      <c r="B498" s="12"/>
    </row>
    <row r="499" ht="15.75" customHeight="1">
      <c r="B499" s="12"/>
    </row>
    <row r="500" ht="15.75" customHeight="1">
      <c r="B500" s="12"/>
    </row>
    <row r="501" ht="15.75" customHeight="1">
      <c r="B501" s="12"/>
    </row>
    <row r="502" ht="15.75" customHeight="1">
      <c r="B502" s="12"/>
    </row>
    <row r="503" ht="15.75" customHeight="1">
      <c r="B503" s="12"/>
    </row>
    <row r="504" ht="15.75" customHeight="1">
      <c r="B504" s="12"/>
    </row>
    <row r="505" ht="15.75" customHeight="1">
      <c r="B505" s="12"/>
    </row>
    <row r="506" ht="15.75" customHeight="1">
      <c r="B506" s="12"/>
    </row>
    <row r="507" ht="15.75" customHeight="1">
      <c r="B507" s="12"/>
    </row>
    <row r="508" ht="15.75" customHeight="1">
      <c r="B508" s="12"/>
    </row>
    <row r="509" ht="15.75" customHeight="1">
      <c r="B509" s="12"/>
    </row>
    <row r="510" ht="15.75" customHeight="1">
      <c r="B510" s="12"/>
    </row>
    <row r="511" ht="15.75" customHeight="1">
      <c r="B511" s="12"/>
    </row>
    <row r="512" ht="15.75" customHeight="1">
      <c r="B512" s="12"/>
    </row>
    <row r="513" ht="15.75" customHeight="1">
      <c r="B513" s="12"/>
    </row>
    <row r="514" ht="15.75" customHeight="1">
      <c r="B514" s="12"/>
    </row>
    <row r="515" ht="15.75" customHeight="1">
      <c r="B515" s="12"/>
    </row>
    <row r="516" ht="15.75" customHeight="1">
      <c r="B516" s="12"/>
    </row>
    <row r="517" ht="15.75" customHeight="1">
      <c r="B517" s="12"/>
    </row>
    <row r="518" ht="15.75" customHeight="1">
      <c r="B518" s="12"/>
    </row>
    <row r="519" ht="15.75" customHeight="1">
      <c r="B519" s="12"/>
    </row>
    <row r="520" ht="15.75" customHeight="1">
      <c r="B520" s="12"/>
    </row>
    <row r="521" ht="15.75" customHeight="1">
      <c r="B521" s="12"/>
    </row>
    <row r="522" ht="15.75" customHeight="1">
      <c r="B522" s="12"/>
    </row>
    <row r="523" ht="15.75" customHeight="1">
      <c r="B523" s="12"/>
    </row>
    <row r="524" ht="15.75" customHeight="1">
      <c r="B524" s="12"/>
    </row>
    <row r="525" ht="15.75" customHeight="1">
      <c r="B525" s="12"/>
    </row>
    <row r="526" ht="15.75" customHeight="1">
      <c r="B526" s="12"/>
    </row>
    <row r="527" ht="15.75" customHeight="1">
      <c r="B527" s="12"/>
    </row>
    <row r="528" ht="15.75" customHeight="1">
      <c r="B528" s="12"/>
    </row>
    <row r="529" ht="15.75" customHeight="1">
      <c r="B529" s="12"/>
    </row>
    <row r="530" ht="15.75" customHeight="1">
      <c r="B530" s="12"/>
    </row>
    <row r="531" ht="15.75" customHeight="1">
      <c r="B531" s="12"/>
    </row>
    <row r="532" ht="15.75" customHeight="1">
      <c r="B532" s="12"/>
    </row>
    <row r="533" ht="15.75" customHeight="1">
      <c r="B533" s="12"/>
    </row>
    <row r="534" ht="15.75" customHeight="1">
      <c r="B534" s="12"/>
    </row>
    <row r="535" ht="15.75" customHeight="1">
      <c r="B535" s="12"/>
    </row>
    <row r="536" ht="15.75" customHeight="1">
      <c r="B536" s="12"/>
    </row>
    <row r="537" ht="15.75" customHeight="1">
      <c r="B537" s="12"/>
    </row>
    <row r="538" ht="15.75" customHeight="1">
      <c r="B538" s="12"/>
    </row>
    <row r="539" ht="15.75" customHeight="1">
      <c r="B539" s="12"/>
    </row>
    <row r="540" ht="15.75" customHeight="1">
      <c r="B540" s="12"/>
    </row>
    <row r="541" ht="15.75" customHeight="1">
      <c r="B541" s="12"/>
    </row>
    <row r="542" ht="15.75" customHeight="1">
      <c r="B542" s="12"/>
    </row>
    <row r="543" ht="15.75" customHeight="1">
      <c r="B543" s="12"/>
    </row>
    <row r="544" ht="15.75" customHeight="1">
      <c r="B544" s="12"/>
    </row>
    <row r="545" ht="15.75" customHeight="1">
      <c r="B545" s="12"/>
    </row>
    <row r="546" ht="15.75" customHeight="1">
      <c r="B546" s="12"/>
    </row>
    <row r="547" ht="15.75" customHeight="1">
      <c r="B547" s="12"/>
    </row>
    <row r="548" ht="15.75" customHeight="1">
      <c r="B548" s="12"/>
    </row>
    <row r="549" ht="15.75" customHeight="1">
      <c r="B549" s="12"/>
    </row>
    <row r="550" ht="15.75" customHeight="1">
      <c r="B550" s="12"/>
    </row>
    <row r="551" ht="15.75" customHeight="1">
      <c r="B551" s="12"/>
    </row>
    <row r="552" ht="15.75" customHeight="1">
      <c r="B552" s="12"/>
    </row>
    <row r="553" ht="15.75" customHeight="1">
      <c r="B553" s="12"/>
    </row>
    <row r="554" ht="15.75" customHeight="1">
      <c r="B554" s="12"/>
    </row>
    <row r="555" ht="15.75" customHeight="1">
      <c r="B555" s="12"/>
    </row>
    <row r="556" ht="15.75" customHeight="1">
      <c r="B556" s="12"/>
    </row>
    <row r="557" ht="15.75" customHeight="1">
      <c r="B557" s="12"/>
    </row>
    <row r="558" ht="15.75" customHeight="1">
      <c r="B558" s="12"/>
    </row>
    <row r="559" ht="15.75" customHeight="1">
      <c r="B559" s="12"/>
    </row>
    <row r="560" ht="15.75" customHeight="1">
      <c r="B560" s="12"/>
    </row>
    <row r="561" ht="15.75" customHeight="1">
      <c r="B561" s="12"/>
    </row>
    <row r="562" ht="15.75" customHeight="1">
      <c r="B562" s="12"/>
    </row>
    <row r="563" ht="15.75" customHeight="1">
      <c r="B563" s="12"/>
    </row>
    <row r="564" ht="15.75" customHeight="1">
      <c r="B564" s="12"/>
    </row>
    <row r="565" ht="15.75" customHeight="1">
      <c r="B565" s="12"/>
    </row>
    <row r="566" ht="15.75" customHeight="1">
      <c r="B566" s="12"/>
    </row>
    <row r="567" ht="15.75" customHeight="1">
      <c r="B567" s="12"/>
    </row>
    <row r="568" ht="15.75" customHeight="1">
      <c r="B568" s="12"/>
    </row>
    <row r="569" ht="15.75" customHeight="1">
      <c r="B569" s="12"/>
    </row>
    <row r="570" ht="15.75" customHeight="1">
      <c r="B570" s="12"/>
    </row>
    <row r="571" ht="15.75" customHeight="1">
      <c r="B571" s="12"/>
    </row>
    <row r="572" ht="15.75" customHeight="1">
      <c r="B572" s="12"/>
    </row>
    <row r="573" ht="15.75" customHeight="1">
      <c r="B573" s="12"/>
    </row>
    <row r="574" ht="15.75" customHeight="1">
      <c r="B574" s="12"/>
    </row>
    <row r="575" ht="15.75" customHeight="1">
      <c r="B575" s="12"/>
    </row>
    <row r="576" ht="15.75" customHeight="1">
      <c r="B576" s="12"/>
    </row>
    <row r="577" ht="15.75" customHeight="1">
      <c r="B577" s="12"/>
    </row>
    <row r="578" ht="15.75" customHeight="1">
      <c r="B578" s="12"/>
    </row>
    <row r="579" ht="15.75" customHeight="1">
      <c r="B579" s="12"/>
    </row>
    <row r="580" ht="15.75" customHeight="1">
      <c r="B580" s="12"/>
    </row>
    <row r="581" ht="15.75" customHeight="1">
      <c r="B581" s="12"/>
    </row>
    <row r="582" ht="15.75" customHeight="1">
      <c r="B582" s="12"/>
    </row>
    <row r="583" ht="15.75" customHeight="1">
      <c r="B583" s="12"/>
    </row>
    <row r="584" ht="15.75" customHeight="1">
      <c r="B584" s="12"/>
    </row>
    <row r="585" ht="15.75" customHeight="1">
      <c r="B585" s="12"/>
    </row>
    <row r="586" ht="15.75" customHeight="1">
      <c r="B586" s="12"/>
    </row>
    <row r="587" ht="15.75" customHeight="1">
      <c r="B587" s="12"/>
    </row>
    <row r="588" ht="15.75" customHeight="1">
      <c r="B588" s="12"/>
    </row>
    <row r="589" ht="15.75" customHeight="1">
      <c r="B589" s="12"/>
    </row>
    <row r="590" ht="15.75" customHeight="1">
      <c r="B590" s="12"/>
    </row>
    <row r="591" ht="15.75" customHeight="1">
      <c r="B591" s="12"/>
    </row>
    <row r="592" ht="15.75" customHeight="1">
      <c r="B592" s="12"/>
    </row>
    <row r="593" ht="15.75" customHeight="1">
      <c r="B593" s="12"/>
    </row>
    <row r="594" ht="15.75" customHeight="1">
      <c r="B594" s="12"/>
    </row>
    <row r="595" ht="15.75" customHeight="1">
      <c r="B595" s="12"/>
    </row>
    <row r="596" ht="15.75" customHeight="1">
      <c r="B596" s="12"/>
    </row>
    <row r="597" ht="15.75" customHeight="1">
      <c r="B597" s="12"/>
    </row>
    <row r="598" ht="15.75" customHeight="1">
      <c r="B598" s="12"/>
    </row>
    <row r="599" ht="15.75" customHeight="1">
      <c r="B599" s="12"/>
    </row>
    <row r="600" ht="15.75" customHeight="1">
      <c r="B600" s="12"/>
    </row>
    <row r="601" ht="15.75" customHeight="1">
      <c r="B601" s="12"/>
    </row>
    <row r="602" ht="15.75" customHeight="1">
      <c r="B602" s="12"/>
    </row>
    <row r="603" ht="15.75" customHeight="1">
      <c r="B603" s="12"/>
    </row>
    <row r="604" ht="15.75" customHeight="1">
      <c r="B604" s="12"/>
    </row>
    <row r="605" ht="15.75" customHeight="1">
      <c r="B605" s="12"/>
    </row>
    <row r="606" ht="15.75" customHeight="1">
      <c r="B606" s="12"/>
    </row>
    <row r="607" ht="15.75" customHeight="1">
      <c r="B607" s="12"/>
    </row>
    <row r="608" ht="15.75" customHeight="1">
      <c r="B608" s="12"/>
    </row>
    <row r="609" ht="15.75" customHeight="1">
      <c r="B609" s="12"/>
    </row>
    <row r="610" ht="15.75" customHeight="1">
      <c r="B610" s="12"/>
    </row>
    <row r="611" ht="15.75" customHeight="1">
      <c r="B611" s="12"/>
    </row>
    <row r="612" ht="15.75" customHeight="1">
      <c r="B612" s="12"/>
    </row>
    <row r="613" ht="15.75" customHeight="1">
      <c r="B613" s="12"/>
    </row>
    <row r="614" ht="15.75" customHeight="1">
      <c r="B614" s="12"/>
    </row>
    <row r="615" ht="15.75" customHeight="1">
      <c r="B615" s="12"/>
    </row>
    <row r="616" ht="15.75" customHeight="1">
      <c r="B616" s="12"/>
    </row>
    <row r="617" ht="15.75" customHeight="1">
      <c r="B617" s="12"/>
    </row>
    <row r="618" ht="15.75" customHeight="1">
      <c r="B618" s="12"/>
    </row>
    <row r="619" ht="15.75" customHeight="1">
      <c r="B619" s="12"/>
    </row>
    <row r="620" ht="15.75" customHeight="1">
      <c r="B620" s="12"/>
    </row>
    <row r="621" ht="15.75" customHeight="1">
      <c r="B621" s="12"/>
    </row>
    <row r="622" ht="15.75" customHeight="1">
      <c r="B622" s="12"/>
    </row>
    <row r="623" ht="15.75" customHeight="1">
      <c r="B623" s="12"/>
    </row>
    <row r="624" ht="15.75" customHeight="1">
      <c r="B624" s="12"/>
    </row>
    <row r="625" ht="15.75" customHeight="1">
      <c r="B625" s="12"/>
    </row>
    <row r="626" ht="15.75" customHeight="1">
      <c r="B626" s="12"/>
    </row>
    <row r="627" ht="15.75" customHeight="1">
      <c r="B627" s="12"/>
    </row>
    <row r="628" ht="15.75" customHeight="1">
      <c r="B628" s="12"/>
    </row>
    <row r="629" ht="15.75" customHeight="1">
      <c r="B629" s="12"/>
    </row>
    <row r="630" ht="15.75" customHeight="1">
      <c r="B630" s="12"/>
    </row>
    <row r="631" ht="15.75" customHeight="1">
      <c r="B631" s="12"/>
    </row>
    <row r="632" ht="15.75" customHeight="1">
      <c r="B632" s="12"/>
    </row>
    <row r="633" ht="15.75" customHeight="1">
      <c r="B633" s="12"/>
    </row>
    <row r="634" ht="15.75" customHeight="1">
      <c r="B634" s="12"/>
    </row>
    <row r="635" ht="15.75" customHeight="1">
      <c r="B635" s="12"/>
    </row>
    <row r="636" ht="15.75" customHeight="1">
      <c r="B636" s="12"/>
    </row>
    <row r="637" ht="15.75" customHeight="1">
      <c r="B637" s="12"/>
    </row>
    <row r="638" ht="15.75" customHeight="1">
      <c r="B638" s="12"/>
    </row>
    <row r="639" ht="15.75" customHeight="1">
      <c r="B639" s="12"/>
    </row>
    <row r="640" ht="15.75" customHeight="1">
      <c r="B640" s="12"/>
    </row>
    <row r="641" ht="15.75" customHeight="1">
      <c r="B641" s="12"/>
    </row>
    <row r="642" ht="15.75" customHeight="1">
      <c r="B642" s="12"/>
    </row>
    <row r="643" ht="15.75" customHeight="1">
      <c r="B643" s="12"/>
    </row>
    <row r="644" ht="15.75" customHeight="1">
      <c r="B644" s="12"/>
    </row>
    <row r="645" ht="15.75" customHeight="1">
      <c r="B645" s="12"/>
    </row>
    <row r="646" ht="15.75" customHeight="1">
      <c r="B646" s="12"/>
    </row>
    <row r="647" ht="15.75" customHeight="1">
      <c r="B647" s="12"/>
    </row>
    <row r="648" ht="15.75" customHeight="1">
      <c r="B648" s="12"/>
    </row>
    <row r="649" ht="15.75" customHeight="1">
      <c r="B649" s="12"/>
    </row>
    <row r="650" ht="15.75" customHeight="1">
      <c r="B650" s="12"/>
    </row>
    <row r="651" ht="15.75" customHeight="1">
      <c r="B651" s="12"/>
    </row>
    <row r="652" ht="15.75" customHeight="1">
      <c r="B652" s="12"/>
    </row>
    <row r="653" ht="15.75" customHeight="1">
      <c r="B653" s="12"/>
    </row>
    <row r="654" ht="15.75" customHeight="1">
      <c r="B654" s="12"/>
    </row>
    <row r="655" ht="15.75" customHeight="1">
      <c r="B655" s="12"/>
    </row>
    <row r="656" ht="15.75" customHeight="1">
      <c r="B656" s="12"/>
    </row>
    <row r="657" ht="15.75" customHeight="1">
      <c r="B657" s="12"/>
    </row>
    <row r="658" ht="15.75" customHeight="1">
      <c r="B658" s="12"/>
    </row>
    <row r="659" ht="15.75" customHeight="1">
      <c r="B659" s="12"/>
    </row>
    <row r="660" ht="15.75" customHeight="1">
      <c r="B660" s="12"/>
    </row>
    <row r="661" ht="15.75" customHeight="1">
      <c r="B661" s="12"/>
    </row>
    <row r="662" ht="15.75" customHeight="1">
      <c r="B662" s="12"/>
    </row>
    <row r="663" ht="15.75" customHeight="1">
      <c r="B663" s="12"/>
    </row>
    <row r="664" ht="15.75" customHeight="1">
      <c r="B664" s="12"/>
    </row>
    <row r="665" ht="15.75" customHeight="1">
      <c r="B665" s="12"/>
    </row>
    <row r="666" ht="15.75" customHeight="1">
      <c r="B666" s="12"/>
    </row>
    <row r="667" ht="15.75" customHeight="1">
      <c r="B667" s="12"/>
    </row>
    <row r="668" ht="15.75" customHeight="1">
      <c r="B668" s="12"/>
    </row>
    <row r="669" ht="15.75" customHeight="1">
      <c r="B669" s="12"/>
    </row>
    <row r="670" ht="15.75" customHeight="1">
      <c r="B670" s="12"/>
    </row>
    <row r="671" ht="15.75" customHeight="1">
      <c r="B671" s="12"/>
    </row>
    <row r="672" ht="15.75" customHeight="1">
      <c r="B672" s="12"/>
    </row>
    <row r="673" ht="15.75" customHeight="1">
      <c r="B673" s="12"/>
    </row>
    <row r="674" ht="15.75" customHeight="1">
      <c r="B674" s="12"/>
    </row>
    <row r="675" ht="15.75" customHeight="1">
      <c r="B675" s="12"/>
    </row>
    <row r="676" ht="15.75" customHeight="1">
      <c r="B676" s="12"/>
    </row>
    <row r="677" ht="15.75" customHeight="1">
      <c r="B677" s="12"/>
    </row>
    <row r="678" ht="15.75" customHeight="1">
      <c r="B678" s="12"/>
    </row>
    <row r="679" ht="15.75" customHeight="1">
      <c r="B679" s="12"/>
    </row>
    <row r="680" ht="15.75" customHeight="1">
      <c r="B680" s="12"/>
    </row>
    <row r="681" ht="15.75" customHeight="1">
      <c r="B681" s="12"/>
    </row>
    <row r="682" ht="15.75" customHeight="1">
      <c r="B682" s="12"/>
    </row>
    <row r="683" ht="15.75" customHeight="1">
      <c r="B683" s="12"/>
    </row>
    <row r="684" ht="15.75" customHeight="1">
      <c r="B684" s="12"/>
    </row>
    <row r="685" ht="15.75" customHeight="1">
      <c r="B685" s="12"/>
    </row>
    <row r="686" ht="15.75" customHeight="1">
      <c r="B686" s="12"/>
    </row>
    <row r="687" ht="15.75" customHeight="1">
      <c r="B687" s="12"/>
    </row>
    <row r="688" ht="15.75" customHeight="1">
      <c r="B688" s="12"/>
    </row>
    <row r="689" ht="15.75" customHeight="1">
      <c r="B689" s="12"/>
    </row>
    <row r="690" ht="15.75" customHeight="1">
      <c r="B690" s="12"/>
    </row>
    <row r="691" ht="15.75" customHeight="1">
      <c r="B691" s="12"/>
    </row>
    <row r="692" ht="15.75" customHeight="1">
      <c r="B692" s="12"/>
    </row>
    <row r="693" ht="15.75" customHeight="1">
      <c r="B693" s="12"/>
    </row>
    <row r="694" ht="15.75" customHeight="1">
      <c r="B694" s="12"/>
    </row>
    <row r="695" ht="15.75" customHeight="1">
      <c r="B695" s="12"/>
    </row>
    <row r="696" ht="15.75" customHeight="1">
      <c r="B696" s="12"/>
    </row>
    <row r="697" ht="15.75" customHeight="1">
      <c r="B697" s="12"/>
    </row>
    <row r="698" ht="15.75" customHeight="1">
      <c r="B698" s="12"/>
    </row>
    <row r="699" ht="15.75" customHeight="1">
      <c r="B699" s="12"/>
    </row>
    <row r="700" ht="15.75" customHeight="1">
      <c r="B700" s="12"/>
    </row>
    <row r="701" ht="15.75" customHeight="1">
      <c r="B701" s="12"/>
    </row>
    <row r="702" ht="15.75" customHeight="1">
      <c r="B702" s="12"/>
    </row>
    <row r="703" ht="15.75" customHeight="1">
      <c r="B703" s="12"/>
    </row>
    <row r="704" ht="15.75" customHeight="1">
      <c r="B704" s="12"/>
    </row>
    <row r="705" ht="15.75" customHeight="1">
      <c r="B705" s="12"/>
    </row>
    <row r="706" ht="15.75" customHeight="1">
      <c r="B706" s="12"/>
    </row>
    <row r="707" ht="15.75" customHeight="1">
      <c r="B707" s="12"/>
    </row>
    <row r="708" ht="15.75" customHeight="1">
      <c r="B708" s="12"/>
    </row>
    <row r="709" ht="15.75" customHeight="1">
      <c r="B709" s="12"/>
    </row>
    <row r="710" ht="15.75" customHeight="1">
      <c r="B710" s="12"/>
    </row>
    <row r="711" ht="15.75" customHeight="1">
      <c r="B711" s="12"/>
    </row>
    <row r="712" ht="15.75" customHeight="1">
      <c r="B712" s="12"/>
    </row>
    <row r="713" ht="15.75" customHeight="1">
      <c r="B713" s="12"/>
    </row>
    <row r="714" ht="15.75" customHeight="1">
      <c r="B714" s="12"/>
    </row>
    <row r="715" ht="15.75" customHeight="1">
      <c r="B715" s="12"/>
    </row>
    <row r="716" ht="15.75" customHeight="1">
      <c r="B716" s="12"/>
    </row>
    <row r="717" ht="15.75" customHeight="1">
      <c r="B717" s="12"/>
    </row>
    <row r="718" ht="15.75" customHeight="1">
      <c r="B718" s="12"/>
    </row>
    <row r="719" ht="15.75" customHeight="1">
      <c r="B719" s="12"/>
    </row>
    <row r="720" ht="15.75" customHeight="1">
      <c r="B720" s="12"/>
    </row>
    <row r="721" ht="15.75" customHeight="1">
      <c r="B721" s="12"/>
    </row>
    <row r="722" ht="15.75" customHeight="1">
      <c r="B722" s="12"/>
    </row>
    <row r="723" ht="15.75" customHeight="1">
      <c r="B723" s="12"/>
    </row>
    <row r="724" ht="15.75" customHeight="1">
      <c r="B724" s="12"/>
    </row>
    <row r="725" ht="15.75" customHeight="1">
      <c r="B725" s="12"/>
    </row>
    <row r="726" ht="15.75" customHeight="1">
      <c r="B726" s="12"/>
    </row>
    <row r="727" ht="15.75" customHeight="1">
      <c r="B727" s="12"/>
    </row>
    <row r="728" ht="15.75" customHeight="1">
      <c r="B728" s="12"/>
    </row>
    <row r="729" ht="15.75" customHeight="1">
      <c r="B729" s="12"/>
    </row>
    <row r="730" ht="15.75" customHeight="1">
      <c r="B730" s="12"/>
    </row>
    <row r="731" ht="15.75" customHeight="1">
      <c r="B731" s="12"/>
    </row>
    <row r="732" ht="15.75" customHeight="1">
      <c r="B732" s="12"/>
    </row>
    <row r="733" ht="15.75" customHeight="1">
      <c r="B733" s="12"/>
    </row>
    <row r="734" ht="15.75" customHeight="1">
      <c r="B734" s="12"/>
    </row>
    <row r="735" ht="15.75" customHeight="1">
      <c r="B735" s="12"/>
    </row>
    <row r="736" ht="15.75" customHeight="1">
      <c r="B736" s="12"/>
    </row>
    <row r="737" ht="15.75" customHeight="1">
      <c r="B737" s="12"/>
    </row>
    <row r="738" ht="15.75" customHeight="1">
      <c r="B738" s="12"/>
    </row>
    <row r="739" ht="15.75" customHeight="1">
      <c r="B739" s="12"/>
    </row>
    <row r="740" ht="15.75" customHeight="1">
      <c r="B740" s="12"/>
    </row>
    <row r="741" ht="15.75" customHeight="1">
      <c r="B741" s="12"/>
    </row>
    <row r="742" ht="15.75" customHeight="1">
      <c r="B742" s="12"/>
    </row>
    <row r="743" ht="15.75" customHeight="1">
      <c r="B743" s="12"/>
    </row>
    <row r="744" ht="15.75" customHeight="1">
      <c r="B744" s="12"/>
    </row>
    <row r="745" ht="15.75" customHeight="1">
      <c r="B745" s="12"/>
    </row>
    <row r="746" ht="15.75" customHeight="1">
      <c r="B746" s="12"/>
    </row>
    <row r="747" ht="15.75" customHeight="1">
      <c r="B747" s="12"/>
    </row>
    <row r="748" ht="15.75" customHeight="1">
      <c r="B748" s="12"/>
    </row>
    <row r="749" ht="15.75" customHeight="1">
      <c r="B749" s="12"/>
    </row>
    <row r="750" ht="15.75" customHeight="1">
      <c r="B750" s="12"/>
    </row>
    <row r="751" ht="15.75" customHeight="1">
      <c r="B751" s="12"/>
    </row>
    <row r="752" ht="15.75" customHeight="1">
      <c r="B752" s="12"/>
    </row>
    <row r="753" ht="15.75" customHeight="1">
      <c r="B753" s="12"/>
    </row>
    <row r="754" ht="15.75" customHeight="1">
      <c r="B754" s="12"/>
    </row>
    <row r="755" ht="15.75" customHeight="1">
      <c r="B755" s="12"/>
    </row>
    <row r="756" ht="15.75" customHeight="1">
      <c r="B756" s="12"/>
    </row>
    <row r="757" ht="15.75" customHeight="1">
      <c r="B757" s="12"/>
    </row>
    <row r="758" ht="15.75" customHeight="1">
      <c r="B758" s="12"/>
    </row>
    <row r="759" ht="15.75" customHeight="1">
      <c r="B759" s="12"/>
    </row>
    <row r="760" ht="15.75" customHeight="1">
      <c r="B760" s="12"/>
    </row>
    <row r="761" ht="15.75" customHeight="1">
      <c r="B761" s="12"/>
    </row>
    <row r="762" ht="15.75" customHeight="1">
      <c r="B762" s="12"/>
    </row>
    <row r="763" ht="15.75" customHeight="1">
      <c r="B763" s="12"/>
    </row>
    <row r="764" ht="15.75" customHeight="1">
      <c r="B764" s="12"/>
    </row>
    <row r="765" ht="15.75" customHeight="1">
      <c r="B765" s="12"/>
    </row>
    <row r="766" ht="15.75" customHeight="1">
      <c r="B766" s="12"/>
    </row>
    <row r="767" ht="15.75" customHeight="1">
      <c r="B767" s="12"/>
    </row>
    <row r="768" ht="15.75" customHeight="1">
      <c r="B768" s="12"/>
    </row>
    <row r="769" ht="15.75" customHeight="1">
      <c r="B769" s="12"/>
    </row>
    <row r="770" ht="15.75" customHeight="1">
      <c r="B770" s="12"/>
    </row>
    <row r="771" ht="15.75" customHeight="1">
      <c r="B771" s="12"/>
    </row>
    <row r="772" ht="15.75" customHeight="1">
      <c r="B772" s="12"/>
    </row>
    <row r="773" ht="15.75" customHeight="1">
      <c r="B773" s="12"/>
    </row>
    <row r="774" ht="15.75" customHeight="1">
      <c r="B774" s="12"/>
    </row>
    <row r="775" ht="15.75" customHeight="1">
      <c r="B775" s="12"/>
    </row>
    <row r="776" ht="15.75" customHeight="1">
      <c r="B776" s="12"/>
    </row>
    <row r="777" ht="15.75" customHeight="1">
      <c r="B777" s="12"/>
    </row>
    <row r="778" ht="15.75" customHeight="1">
      <c r="B778" s="12"/>
    </row>
    <row r="779" ht="15.75" customHeight="1">
      <c r="B779" s="12"/>
    </row>
    <row r="780" ht="15.75" customHeight="1">
      <c r="B780" s="12"/>
    </row>
    <row r="781" ht="15.75" customHeight="1">
      <c r="B781" s="12"/>
    </row>
    <row r="782" ht="15.75" customHeight="1">
      <c r="B782" s="12"/>
    </row>
    <row r="783" ht="15.75" customHeight="1">
      <c r="B783" s="12"/>
    </row>
    <row r="784" ht="15.75" customHeight="1">
      <c r="B784" s="12"/>
    </row>
    <row r="785" ht="15.75" customHeight="1">
      <c r="B785" s="12"/>
    </row>
    <row r="786" ht="15.75" customHeight="1">
      <c r="B786" s="12"/>
    </row>
    <row r="787" ht="15.75" customHeight="1">
      <c r="B787" s="12"/>
    </row>
    <row r="788" ht="15.75" customHeight="1">
      <c r="B788" s="12"/>
    </row>
    <row r="789" ht="15.75" customHeight="1">
      <c r="B789" s="12"/>
    </row>
    <row r="790" ht="15.75" customHeight="1">
      <c r="B790" s="12"/>
    </row>
    <row r="791" ht="15.75" customHeight="1">
      <c r="B791" s="12"/>
    </row>
    <row r="792" ht="15.75" customHeight="1">
      <c r="B792" s="12"/>
    </row>
    <row r="793" ht="15.75" customHeight="1">
      <c r="B793" s="12"/>
    </row>
    <row r="794" ht="15.75" customHeight="1">
      <c r="B794" s="12"/>
    </row>
    <row r="795" ht="15.75" customHeight="1">
      <c r="B795" s="12"/>
    </row>
    <row r="796" ht="15.75" customHeight="1">
      <c r="B796" s="12"/>
    </row>
    <row r="797" ht="15.75" customHeight="1">
      <c r="B797" s="12"/>
    </row>
    <row r="798" ht="15.75" customHeight="1">
      <c r="B798" s="12"/>
    </row>
    <row r="799" ht="15.75" customHeight="1">
      <c r="B799" s="12"/>
    </row>
    <row r="800" ht="15.75" customHeight="1">
      <c r="B800" s="12"/>
    </row>
    <row r="801" ht="15.75" customHeight="1">
      <c r="B801" s="12"/>
    </row>
    <row r="802" ht="15.75" customHeight="1">
      <c r="B802" s="12"/>
    </row>
    <row r="803" ht="15.75" customHeight="1">
      <c r="B803" s="12"/>
    </row>
    <row r="804" ht="15.75" customHeight="1">
      <c r="B804" s="12"/>
    </row>
    <row r="805" ht="15.75" customHeight="1">
      <c r="B805" s="12"/>
    </row>
    <row r="806" ht="15.75" customHeight="1">
      <c r="B806" s="12"/>
    </row>
    <row r="807" ht="15.75" customHeight="1">
      <c r="B807" s="12"/>
    </row>
    <row r="808" ht="15.75" customHeight="1">
      <c r="B808" s="12"/>
    </row>
    <row r="809" ht="15.75" customHeight="1">
      <c r="B809" s="12"/>
    </row>
    <row r="810" ht="15.75" customHeight="1">
      <c r="B810" s="12"/>
    </row>
    <row r="811" ht="15.75" customHeight="1">
      <c r="B811" s="12"/>
    </row>
    <row r="812" ht="15.75" customHeight="1">
      <c r="B812" s="12"/>
    </row>
    <row r="813" ht="15.75" customHeight="1">
      <c r="B813" s="12"/>
    </row>
    <row r="814" ht="15.75" customHeight="1">
      <c r="B814" s="12"/>
    </row>
    <row r="815" ht="15.75" customHeight="1">
      <c r="B815" s="12"/>
    </row>
    <row r="816" ht="15.75" customHeight="1">
      <c r="B816" s="12"/>
    </row>
    <row r="817" ht="15.75" customHeight="1">
      <c r="B817" s="12"/>
    </row>
    <row r="818" ht="15.75" customHeight="1">
      <c r="B818" s="12"/>
    </row>
    <row r="819" ht="15.75" customHeight="1">
      <c r="B819" s="12"/>
    </row>
    <row r="820" ht="15.75" customHeight="1">
      <c r="B820" s="12"/>
    </row>
    <row r="821" ht="15.75" customHeight="1">
      <c r="B821" s="12"/>
    </row>
    <row r="822" ht="15.75" customHeight="1">
      <c r="B822" s="12"/>
    </row>
    <row r="823" ht="15.75" customHeight="1">
      <c r="B823" s="12"/>
    </row>
    <row r="824" ht="15.75" customHeight="1">
      <c r="B824" s="12"/>
    </row>
    <row r="825" ht="15.75" customHeight="1">
      <c r="B825" s="12"/>
    </row>
    <row r="826" ht="15.75" customHeight="1">
      <c r="B826" s="12"/>
    </row>
    <row r="827" ht="15.75" customHeight="1">
      <c r="B827" s="12"/>
    </row>
    <row r="828" ht="15.75" customHeight="1">
      <c r="B828" s="12"/>
    </row>
    <row r="829" ht="15.75" customHeight="1">
      <c r="B829" s="12"/>
    </row>
    <row r="830" ht="15.75" customHeight="1">
      <c r="B830" s="12"/>
    </row>
    <row r="831" ht="15.75" customHeight="1">
      <c r="B831" s="12"/>
    </row>
    <row r="832" ht="15.75" customHeight="1">
      <c r="B832" s="12"/>
    </row>
    <row r="833" ht="15.75" customHeight="1">
      <c r="B833" s="12"/>
    </row>
    <row r="834" ht="15.75" customHeight="1">
      <c r="B834" s="12"/>
    </row>
    <row r="835" ht="15.75" customHeight="1">
      <c r="B835" s="12"/>
    </row>
    <row r="836" ht="15.75" customHeight="1">
      <c r="B836" s="12"/>
    </row>
    <row r="837" ht="15.75" customHeight="1">
      <c r="B837" s="12"/>
    </row>
    <row r="838" ht="15.75" customHeight="1">
      <c r="B838" s="12"/>
    </row>
    <row r="839" ht="15.75" customHeight="1">
      <c r="B839" s="12"/>
    </row>
    <row r="840" ht="15.75" customHeight="1">
      <c r="B840" s="12"/>
    </row>
    <row r="841" ht="15.75" customHeight="1">
      <c r="B841" s="12"/>
    </row>
    <row r="842" ht="15.75" customHeight="1">
      <c r="B842" s="12"/>
    </row>
    <row r="843" ht="15.75" customHeight="1">
      <c r="B843" s="12"/>
    </row>
    <row r="844" ht="15.75" customHeight="1">
      <c r="B844" s="12"/>
    </row>
    <row r="845" ht="15.75" customHeight="1">
      <c r="B845" s="12"/>
    </row>
    <row r="846" ht="15.75" customHeight="1">
      <c r="B846" s="12"/>
    </row>
    <row r="847" ht="15.75" customHeight="1">
      <c r="B847" s="12"/>
    </row>
    <row r="848" ht="15.75" customHeight="1">
      <c r="B848" s="12"/>
    </row>
    <row r="849" ht="15.75" customHeight="1">
      <c r="B849" s="12"/>
    </row>
    <row r="850" ht="15.75" customHeight="1">
      <c r="B850" s="12"/>
    </row>
    <row r="851" ht="15.75" customHeight="1">
      <c r="B851" s="12"/>
    </row>
    <row r="852" ht="15.75" customHeight="1">
      <c r="B852" s="12"/>
    </row>
    <row r="853" ht="15.75" customHeight="1">
      <c r="B853" s="12"/>
    </row>
    <row r="854" ht="15.75" customHeight="1">
      <c r="B854" s="12"/>
    </row>
    <row r="855" ht="15.75" customHeight="1">
      <c r="B855" s="12"/>
    </row>
    <row r="856" ht="15.75" customHeight="1">
      <c r="B856" s="12"/>
    </row>
    <row r="857" ht="15.75" customHeight="1">
      <c r="B857" s="12"/>
    </row>
    <row r="858" ht="15.75" customHeight="1">
      <c r="B858" s="12"/>
    </row>
    <row r="859" ht="15.75" customHeight="1">
      <c r="B859" s="12"/>
    </row>
    <row r="860" ht="15.75" customHeight="1">
      <c r="B860" s="12"/>
    </row>
    <row r="861" ht="15.75" customHeight="1">
      <c r="B861" s="12"/>
    </row>
    <row r="862" ht="15.75" customHeight="1">
      <c r="B862" s="12"/>
    </row>
    <row r="863" ht="15.75" customHeight="1">
      <c r="B863" s="12"/>
    </row>
    <row r="864" ht="15.75" customHeight="1">
      <c r="B864" s="12"/>
    </row>
    <row r="865" ht="15.75" customHeight="1">
      <c r="B865" s="12"/>
    </row>
    <row r="866" ht="15.75" customHeight="1">
      <c r="B866" s="12"/>
    </row>
    <row r="867" ht="15.75" customHeight="1">
      <c r="B867" s="12"/>
    </row>
    <row r="868" ht="15.75" customHeight="1">
      <c r="B868" s="12"/>
    </row>
    <row r="869" ht="15.75" customHeight="1">
      <c r="B869" s="12"/>
    </row>
    <row r="870" ht="15.75" customHeight="1">
      <c r="B870" s="12"/>
    </row>
    <row r="871" ht="15.75" customHeight="1">
      <c r="B871" s="12"/>
    </row>
    <row r="872" ht="15.75" customHeight="1">
      <c r="B872" s="12"/>
    </row>
    <row r="873" ht="15.75" customHeight="1">
      <c r="B873" s="12"/>
    </row>
    <row r="874" ht="15.75" customHeight="1">
      <c r="B874" s="12"/>
    </row>
    <row r="875" ht="15.75" customHeight="1">
      <c r="B875" s="12"/>
    </row>
    <row r="876" ht="15.75" customHeight="1">
      <c r="B876" s="12"/>
    </row>
    <row r="877" ht="15.75" customHeight="1">
      <c r="B877" s="12"/>
    </row>
    <row r="878" ht="15.75" customHeight="1">
      <c r="B878" s="12"/>
    </row>
    <row r="879" ht="15.75" customHeight="1">
      <c r="B879" s="12"/>
    </row>
    <row r="880" ht="15.75" customHeight="1">
      <c r="B880" s="12"/>
    </row>
    <row r="881" ht="15.75" customHeight="1">
      <c r="B881" s="12"/>
    </row>
    <row r="882" ht="15.75" customHeight="1">
      <c r="B882" s="12"/>
    </row>
    <row r="883" ht="15.75" customHeight="1">
      <c r="B883" s="12"/>
    </row>
    <row r="884" ht="15.75" customHeight="1">
      <c r="B884" s="12"/>
    </row>
    <row r="885" ht="15.75" customHeight="1">
      <c r="B885" s="12"/>
    </row>
    <row r="886" ht="15.75" customHeight="1">
      <c r="B886" s="12"/>
    </row>
    <row r="887" ht="15.75" customHeight="1">
      <c r="B887" s="12"/>
    </row>
    <row r="888" ht="15.75" customHeight="1">
      <c r="B888" s="12"/>
    </row>
    <row r="889" ht="15.75" customHeight="1">
      <c r="B889" s="12"/>
    </row>
    <row r="890" ht="15.75" customHeight="1">
      <c r="B890" s="12"/>
    </row>
    <row r="891" ht="15.75" customHeight="1">
      <c r="B891" s="12"/>
    </row>
    <row r="892" ht="15.75" customHeight="1">
      <c r="B892" s="12"/>
    </row>
    <row r="893" ht="15.75" customHeight="1">
      <c r="B893" s="12"/>
    </row>
    <row r="894" ht="15.75" customHeight="1">
      <c r="B894" s="12"/>
    </row>
    <row r="895" ht="15.75" customHeight="1">
      <c r="B895" s="12"/>
    </row>
    <row r="896" ht="15.75" customHeight="1">
      <c r="B896" s="12"/>
    </row>
    <row r="897" ht="15.75" customHeight="1">
      <c r="B897" s="12"/>
    </row>
    <row r="898" ht="15.75" customHeight="1">
      <c r="B898" s="12"/>
    </row>
    <row r="899" ht="15.75" customHeight="1">
      <c r="B899" s="12"/>
    </row>
    <row r="900" ht="15.75" customHeight="1">
      <c r="B900" s="12"/>
    </row>
    <row r="901" ht="15.75" customHeight="1">
      <c r="B901" s="12"/>
    </row>
    <row r="902" ht="15.75" customHeight="1">
      <c r="B902" s="12"/>
    </row>
    <row r="903" ht="15.75" customHeight="1">
      <c r="B903" s="12"/>
    </row>
    <row r="904" ht="15.75" customHeight="1">
      <c r="B904" s="12"/>
    </row>
    <row r="905" ht="15.75" customHeight="1">
      <c r="B905" s="12"/>
    </row>
    <row r="906" ht="15.75" customHeight="1">
      <c r="B906" s="12"/>
    </row>
    <row r="907" ht="15.75" customHeight="1">
      <c r="B907" s="12"/>
    </row>
    <row r="908" ht="15.75" customHeight="1">
      <c r="B908" s="12"/>
    </row>
    <row r="909" ht="15.75" customHeight="1">
      <c r="B909" s="12"/>
    </row>
    <row r="910" ht="15.75" customHeight="1">
      <c r="B910" s="12"/>
    </row>
    <row r="911" ht="15.75" customHeight="1">
      <c r="B911" s="12"/>
    </row>
    <row r="912" ht="15.75" customHeight="1">
      <c r="B912" s="12"/>
    </row>
    <row r="913" ht="15.75" customHeight="1">
      <c r="B913" s="12"/>
    </row>
    <row r="914" ht="15.75" customHeight="1">
      <c r="B914" s="12"/>
    </row>
    <row r="915" ht="15.75" customHeight="1">
      <c r="B915" s="12"/>
    </row>
    <row r="916" ht="15.75" customHeight="1">
      <c r="B916" s="12"/>
    </row>
    <row r="917" ht="15.75" customHeight="1">
      <c r="B917" s="12"/>
    </row>
    <row r="918" ht="15.75" customHeight="1">
      <c r="B918" s="12"/>
    </row>
    <row r="919" ht="15.75" customHeight="1">
      <c r="B919" s="12"/>
    </row>
    <row r="920" ht="15.75" customHeight="1">
      <c r="B920" s="12"/>
    </row>
    <row r="921" ht="15.75" customHeight="1">
      <c r="B921" s="12"/>
    </row>
    <row r="922" ht="15.75" customHeight="1">
      <c r="B922" s="12"/>
    </row>
    <row r="923" ht="15.75" customHeight="1">
      <c r="B923" s="12"/>
    </row>
    <row r="924" ht="15.75" customHeight="1">
      <c r="B924" s="12"/>
    </row>
    <row r="925" ht="15.75" customHeight="1">
      <c r="B925" s="12"/>
    </row>
    <row r="926" ht="15.75" customHeight="1">
      <c r="B926" s="12"/>
    </row>
    <row r="927" ht="15.75" customHeight="1">
      <c r="B927" s="12"/>
    </row>
    <row r="928" ht="15.75" customHeight="1">
      <c r="B928" s="12"/>
    </row>
    <row r="929" ht="15.75" customHeight="1">
      <c r="B929" s="12"/>
    </row>
    <row r="930" ht="15.75" customHeight="1">
      <c r="B930" s="12"/>
    </row>
    <row r="931" ht="15.75" customHeight="1">
      <c r="B931" s="12"/>
    </row>
    <row r="932" ht="15.75" customHeight="1">
      <c r="B932" s="12"/>
    </row>
    <row r="933" ht="15.75" customHeight="1">
      <c r="B933" s="12"/>
    </row>
    <row r="934" ht="15.75" customHeight="1">
      <c r="B934" s="12"/>
    </row>
    <row r="935" ht="15.75" customHeight="1">
      <c r="B935" s="12"/>
    </row>
    <row r="936" ht="15.75" customHeight="1">
      <c r="B936" s="12"/>
    </row>
    <row r="937" ht="15.75" customHeight="1">
      <c r="B937" s="12"/>
    </row>
    <row r="938" ht="15.75" customHeight="1">
      <c r="B938" s="12"/>
    </row>
    <row r="939" ht="15.75" customHeight="1">
      <c r="B939" s="12"/>
    </row>
    <row r="940" ht="15.75" customHeight="1">
      <c r="B940" s="12"/>
    </row>
    <row r="941" ht="15.75" customHeight="1">
      <c r="B941" s="12"/>
    </row>
    <row r="942" ht="15.75" customHeight="1">
      <c r="B942" s="12"/>
    </row>
    <row r="943" ht="15.75" customHeight="1">
      <c r="B943" s="12"/>
    </row>
    <row r="944" ht="15.75" customHeight="1">
      <c r="B944" s="12"/>
    </row>
    <row r="945" ht="15.75" customHeight="1">
      <c r="B945" s="12"/>
    </row>
    <row r="946" ht="15.75" customHeight="1">
      <c r="B946" s="12"/>
    </row>
    <row r="947" ht="15.75" customHeight="1">
      <c r="B947" s="12"/>
    </row>
    <row r="948" ht="15.75" customHeight="1">
      <c r="B948" s="12"/>
    </row>
    <row r="949" ht="15.75" customHeight="1">
      <c r="B949" s="12"/>
    </row>
    <row r="950" ht="15.75" customHeight="1">
      <c r="B950" s="12"/>
    </row>
    <row r="951" ht="15.75" customHeight="1">
      <c r="B951" s="12"/>
    </row>
    <row r="952" ht="15.75" customHeight="1">
      <c r="B952" s="12"/>
    </row>
    <row r="953" ht="15.75" customHeight="1">
      <c r="B953" s="12"/>
    </row>
    <row r="954" ht="15.75" customHeight="1">
      <c r="B954" s="12"/>
    </row>
    <row r="955" ht="15.75" customHeight="1">
      <c r="B955" s="12"/>
    </row>
    <row r="956" ht="15.75" customHeight="1">
      <c r="B956" s="12"/>
    </row>
    <row r="957" ht="15.75" customHeight="1">
      <c r="B957" s="12"/>
    </row>
    <row r="958" ht="15.75" customHeight="1">
      <c r="B958" s="12"/>
    </row>
    <row r="959" ht="15.75" customHeight="1">
      <c r="B959" s="12"/>
    </row>
    <row r="960" ht="15.75" customHeight="1">
      <c r="B960" s="12"/>
    </row>
    <row r="961" ht="15.75" customHeight="1">
      <c r="B961" s="12"/>
    </row>
    <row r="962" ht="15.75" customHeight="1">
      <c r="B962" s="12"/>
    </row>
    <row r="963" ht="15.75" customHeight="1">
      <c r="B963" s="12"/>
    </row>
    <row r="964" ht="15.75" customHeight="1">
      <c r="B964" s="12"/>
    </row>
    <row r="965" ht="15.75" customHeight="1">
      <c r="B965" s="12"/>
    </row>
    <row r="966" ht="15.75" customHeight="1">
      <c r="B966" s="12"/>
    </row>
    <row r="967" ht="15.75" customHeight="1">
      <c r="B967" s="12"/>
    </row>
    <row r="968" ht="15.75" customHeight="1">
      <c r="B968" s="12"/>
    </row>
    <row r="969" ht="15.75" customHeight="1">
      <c r="B969" s="12"/>
    </row>
    <row r="970" ht="15.75" customHeight="1">
      <c r="B970" s="12"/>
    </row>
    <row r="971" ht="15.75" customHeight="1">
      <c r="B971" s="12"/>
    </row>
    <row r="972" ht="15.75" customHeight="1">
      <c r="B972" s="12"/>
    </row>
    <row r="973" ht="15.75" customHeight="1">
      <c r="B973" s="12"/>
    </row>
    <row r="974" ht="15.75" customHeight="1">
      <c r="B974" s="12"/>
    </row>
    <row r="975" ht="15.75" customHeight="1">
      <c r="B975" s="12"/>
    </row>
    <row r="976" ht="15.75" customHeight="1">
      <c r="B976" s="12"/>
    </row>
    <row r="977" ht="15.75" customHeight="1">
      <c r="B977" s="12"/>
    </row>
    <row r="978" ht="15.75" customHeight="1">
      <c r="B978" s="12"/>
    </row>
    <row r="979" ht="15.75" customHeight="1">
      <c r="B979" s="12"/>
    </row>
    <row r="980" ht="15.75" customHeight="1">
      <c r="B980" s="12"/>
    </row>
    <row r="981" ht="15.75" customHeight="1">
      <c r="B981" s="12"/>
    </row>
    <row r="982" ht="15.75" customHeight="1">
      <c r="B982" s="12"/>
    </row>
    <row r="983" ht="15.75" customHeight="1">
      <c r="B983" s="12"/>
    </row>
    <row r="984" ht="15.75" customHeight="1">
      <c r="B984" s="12"/>
    </row>
    <row r="985" ht="15.75" customHeight="1">
      <c r="B985" s="12"/>
    </row>
    <row r="986" ht="15.75" customHeight="1">
      <c r="B986" s="12"/>
    </row>
    <row r="987" ht="15.75" customHeight="1">
      <c r="B987" s="12"/>
    </row>
    <row r="988" ht="15.75" customHeight="1">
      <c r="B988" s="12"/>
    </row>
    <row r="989" ht="15.75" customHeight="1">
      <c r="B989" s="12"/>
    </row>
    <row r="990" ht="15.75" customHeight="1">
      <c r="B990" s="12"/>
    </row>
    <row r="991" ht="15.75" customHeight="1">
      <c r="B991" s="12"/>
    </row>
    <row r="992" ht="15.75" customHeight="1">
      <c r="B992" s="12"/>
    </row>
    <row r="993" ht="15.75" customHeight="1">
      <c r="B993" s="12"/>
    </row>
    <row r="994" ht="15.75" customHeight="1">
      <c r="B994" s="12"/>
    </row>
    <row r="995" ht="15.75" customHeight="1">
      <c r="B995" s="12"/>
    </row>
    <row r="996" ht="15.75" customHeight="1">
      <c r="B996" s="12"/>
    </row>
    <row r="997" ht="15.75" customHeight="1">
      <c r="B997" s="12"/>
    </row>
    <row r="998" ht="15.75" customHeight="1">
      <c r="B998" s="12"/>
    </row>
    <row r="999" ht="15.75" customHeight="1">
      <c r="B999" s="12"/>
    </row>
    <row r="1000" ht="15.75" customHeight="1">
      <c r="B1000" s="12"/>
    </row>
    <row r="1001" ht="15.75" customHeight="1">
      <c r="B1001" s="12"/>
    </row>
    <row r="1002" ht="15.75" customHeight="1">
      <c r="B1002" s="12"/>
    </row>
  </sheetData>
  <mergeCells count="5">
    <mergeCell ref="A2:C2"/>
    <mergeCell ref="A17:C17"/>
    <mergeCell ref="A24:C24"/>
    <mergeCell ref="A25:C25"/>
    <mergeCell ref="A34:C34"/>
  </mergeCells>
  <dataValidations>
    <dataValidation type="list" allowBlank="1" showErrorMessage="1" sqref="B27">
      <formula1>'Category Lists'!$H$4:$H$5</formula1>
    </dataValidation>
    <dataValidation type="list" allowBlank="1" showErrorMessage="1" sqref="B6">
      <formula1>'Category Lists'!$T$4:$T$5</formula1>
    </dataValidation>
    <dataValidation type="list" allowBlank="1" showErrorMessage="1" sqref="B28">
      <formula1>'Category Lists'!$J$4:$J$8</formula1>
    </dataValidation>
    <dataValidation type="list" allowBlank="1" showErrorMessage="1" sqref="B9 B11">
      <formula1>'Category Lists'!$R$4:$R$5</formula1>
    </dataValidation>
    <dataValidation type="list" allowBlank="1" showErrorMessage="1" sqref="B5">
      <formula1>'Category Lists'!$A$4:$A$6</formula1>
    </dataValidation>
    <dataValidation type="list" allowBlank="1" showErrorMessage="1" sqref="B7">
      <formula1>'Category Lists'!$P$4</formula1>
    </dataValidation>
  </dataValidation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9.56"/>
    <col customWidth="1" min="3" max="3" width="62.0"/>
    <col customWidth="1" min="6" max="6" width="25.11"/>
    <col customWidth="1" min="7" max="7" width="15.78"/>
    <col customWidth="1" min="8" max="8" width="13.78"/>
    <col customWidth="1" min="15" max="15" width="12.33"/>
  </cols>
  <sheetData>
    <row r="1">
      <c r="A1" s="78" t="s">
        <v>47</v>
      </c>
      <c r="B1" s="79"/>
      <c r="C1" s="79"/>
      <c r="D1" s="79"/>
      <c r="E1" s="79"/>
      <c r="F1" s="79"/>
      <c r="G1" s="79"/>
      <c r="H1" s="79"/>
      <c r="I1" s="79"/>
      <c r="J1" s="79"/>
      <c r="K1" s="79"/>
      <c r="L1" s="79"/>
      <c r="O1" s="80" t="s">
        <v>48</v>
      </c>
      <c r="P1" s="80" t="s">
        <v>49</v>
      </c>
      <c r="Q1" s="81" t="s">
        <v>50</v>
      </c>
    </row>
    <row r="2">
      <c r="A2" s="82" t="s">
        <v>51</v>
      </c>
      <c r="B2" s="83" t="s">
        <v>52</v>
      </c>
      <c r="C2" s="84" t="s">
        <v>53</v>
      </c>
      <c r="D2" s="85" t="s">
        <v>54</v>
      </c>
      <c r="E2" s="79"/>
      <c r="F2" s="79"/>
      <c r="G2" s="79"/>
      <c r="H2" s="79"/>
      <c r="I2" s="79"/>
      <c r="J2" s="79"/>
      <c r="K2" s="79"/>
      <c r="L2" s="79"/>
      <c r="O2" s="86">
        <v>69.0</v>
      </c>
      <c r="P2" s="86">
        <v>0.0747</v>
      </c>
      <c r="Q2" s="86">
        <v>24.77</v>
      </c>
    </row>
    <row r="3">
      <c r="A3" s="79"/>
      <c r="B3" s="79"/>
      <c r="C3" s="79"/>
      <c r="D3" s="79"/>
      <c r="E3" s="79"/>
      <c r="F3" s="79"/>
      <c r="G3" s="79"/>
      <c r="H3" s="79"/>
      <c r="I3" s="79"/>
      <c r="J3" s="79"/>
      <c r="K3" s="79"/>
      <c r="L3" s="79"/>
      <c r="O3" s="86">
        <v>70.0</v>
      </c>
      <c r="P3" s="86">
        <v>0.0746</v>
      </c>
      <c r="Q3" s="86">
        <v>25.3</v>
      </c>
    </row>
    <row r="4">
      <c r="A4" s="87" t="s">
        <v>55</v>
      </c>
      <c r="B4" s="88"/>
      <c r="C4" s="88"/>
      <c r="D4" s="79"/>
      <c r="E4" s="89" t="s">
        <v>56</v>
      </c>
      <c r="F4" s="88"/>
      <c r="G4" s="88"/>
      <c r="H4" s="79"/>
      <c r="I4" s="79"/>
      <c r="J4" s="79"/>
      <c r="K4" s="79"/>
      <c r="L4" s="79"/>
      <c r="O4" s="86">
        <v>71.0</v>
      </c>
      <c r="P4" s="86">
        <v>0.0744</v>
      </c>
      <c r="Q4" s="86">
        <v>25.84</v>
      </c>
    </row>
    <row r="5">
      <c r="A5" s="90" t="s">
        <v>57</v>
      </c>
      <c r="B5" s="91" t="s">
        <v>11</v>
      </c>
      <c r="C5" s="91" t="s">
        <v>58</v>
      </c>
      <c r="D5" s="92"/>
      <c r="E5" s="91" t="s">
        <v>59</v>
      </c>
      <c r="F5" s="91" t="s">
        <v>60</v>
      </c>
      <c r="G5" s="91" t="s">
        <v>61</v>
      </c>
      <c r="H5" s="79"/>
      <c r="I5" s="79"/>
      <c r="J5" s="79"/>
      <c r="K5" s="79"/>
      <c r="L5" s="79"/>
      <c r="O5" s="86">
        <v>72.0</v>
      </c>
      <c r="P5" s="86">
        <v>0.0743</v>
      </c>
      <c r="Q5" s="86">
        <v>26.39</v>
      </c>
    </row>
    <row r="6">
      <c r="A6" s="93" t="s">
        <v>62</v>
      </c>
      <c r="B6" s="94">
        <v>140000.0</v>
      </c>
      <c r="C6" s="95" t="s">
        <v>63</v>
      </c>
      <c r="D6" s="92"/>
      <c r="E6" s="95" t="s">
        <v>64</v>
      </c>
      <c r="F6" s="96">
        <v>0.45</v>
      </c>
      <c r="G6" s="96">
        <v>0.5</v>
      </c>
      <c r="H6" s="79"/>
      <c r="I6" s="79"/>
      <c r="J6" s="79"/>
      <c r="K6" s="79"/>
      <c r="L6" s="79"/>
      <c r="O6" s="86">
        <v>73.0</v>
      </c>
      <c r="P6" s="86">
        <v>0.0741</v>
      </c>
      <c r="Q6" s="86">
        <v>26.95</v>
      </c>
    </row>
    <row r="7">
      <c r="A7" s="93" t="s">
        <v>65</v>
      </c>
      <c r="B7" s="97">
        <v>200.0</v>
      </c>
      <c r="C7" s="95" t="s">
        <v>66</v>
      </c>
      <c r="D7" s="92"/>
      <c r="E7" s="95" t="s">
        <v>67</v>
      </c>
      <c r="F7" s="96">
        <v>0.5</v>
      </c>
      <c r="G7" s="96">
        <v>0.8</v>
      </c>
      <c r="H7" s="79"/>
      <c r="I7" s="79"/>
      <c r="J7" s="79"/>
      <c r="K7" s="79"/>
      <c r="L7" s="79"/>
      <c r="O7" s="86">
        <v>74.0</v>
      </c>
      <c r="P7" s="86">
        <v>0.0739</v>
      </c>
      <c r="Q7" s="86">
        <v>27.52</v>
      </c>
    </row>
    <row r="8">
      <c r="A8" s="93" t="s">
        <v>68</v>
      </c>
      <c r="B8" s="98">
        <v>4.25</v>
      </c>
      <c r="C8" s="95" t="s">
        <v>63</v>
      </c>
      <c r="D8" s="79"/>
      <c r="E8" s="79"/>
      <c r="F8" s="79"/>
      <c r="G8" s="79"/>
      <c r="H8" s="79"/>
      <c r="I8" s="79"/>
      <c r="J8" s="79"/>
      <c r="K8" s="79"/>
      <c r="L8" s="79"/>
      <c r="O8" s="86">
        <v>75.0</v>
      </c>
      <c r="P8" s="86">
        <v>0.0738</v>
      </c>
      <c r="Q8" s="86">
        <v>28.1</v>
      </c>
    </row>
    <row r="9">
      <c r="A9" s="93" t="s">
        <v>69</v>
      </c>
      <c r="B9" s="98">
        <v>2.0</v>
      </c>
      <c r="C9" s="95" t="s">
        <v>63</v>
      </c>
      <c r="D9" s="79"/>
      <c r="E9" s="79"/>
      <c r="F9" s="79"/>
      <c r="G9" s="79"/>
      <c r="H9" s="79"/>
      <c r="I9" s="79"/>
      <c r="J9" s="79"/>
      <c r="K9" s="79"/>
      <c r="L9" s="79"/>
      <c r="O9" s="86">
        <v>76.0</v>
      </c>
      <c r="P9" s="86">
        <v>0.0736</v>
      </c>
      <c r="Q9" s="86">
        <v>28.7</v>
      </c>
    </row>
    <row r="10">
      <c r="A10" s="93" t="s">
        <v>70</v>
      </c>
      <c r="B10" s="99">
        <v>4.0</v>
      </c>
      <c r="C10" s="95" t="s">
        <v>63</v>
      </c>
      <c r="D10" s="79"/>
      <c r="E10" s="79"/>
      <c r="F10" s="79"/>
      <c r="G10" s="79"/>
      <c r="H10" s="79"/>
      <c r="I10" s="79"/>
      <c r="J10" s="79"/>
      <c r="K10" s="79"/>
      <c r="L10" s="79"/>
      <c r="O10" s="86">
        <v>77.0</v>
      </c>
      <c r="P10" s="86">
        <v>0.0735</v>
      </c>
      <c r="Q10" s="86">
        <v>29.3</v>
      </c>
    </row>
    <row r="11">
      <c r="A11" s="93" t="s">
        <v>71</v>
      </c>
      <c r="B11" s="100">
        <v>0.55</v>
      </c>
      <c r="C11" s="95" t="s">
        <v>72</v>
      </c>
      <c r="D11" s="79"/>
      <c r="E11" s="79"/>
      <c r="F11" s="88"/>
      <c r="G11" s="88"/>
      <c r="H11" s="88"/>
      <c r="I11" s="88"/>
      <c r="J11" s="88"/>
      <c r="K11" s="88"/>
      <c r="L11" s="88"/>
    </row>
    <row r="12">
      <c r="A12" s="93" t="s">
        <v>73</v>
      </c>
      <c r="B12" s="101">
        <v>0.917</v>
      </c>
      <c r="C12" s="95" t="s">
        <v>74</v>
      </c>
      <c r="D12" s="79"/>
      <c r="E12" s="92"/>
      <c r="F12" s="102" t="s">
        <v>75</v>
      </c>
      <c r="G12" s="103"/>
      <c r="H12" s="103"/>
      <c r="I12" s="103"/>
      <c r="J12" s="103"/>
      <c r="K12" s="103"/>
      <c r="L12" s="104"/>
    </row>
    <row r="13">
      <c r="A13" s="93" t="s">
        <v>76</v>
      </c>
      <c r="B13" s="98">
        <v>53.5</v>
      </c>
      <c r="C13" s="95" t="s">
        <v>77</v>
      </c>
      <c r="D13" s="79"/>
      <c r="E13" s="92"/>
      <c r="F13" s="95"/>
      <c r="G13" s="105" t="s">
        <v>78</v>
      </c>
      <c r="H13" s="105" t="s">
        <v>79</v>
      </c>
      <c r="I13" s="105" t="s">
        <v>80</v>
      </c>
      <c r="J13" s="106" t="s">
        <v>81</v>
      </c>
      <c r="K13" s="106" t="s">
        <v>82</v>
      </c>
      <c r="L13" s="105" t="s">
        <v>83</v>
      </c>
    </row>
    <row r="14">
      <c r="A14" s="107" t="s">
        <v>84</v>
      </c>
      <c r="B14" s="108">
        <v>72.0</v>
      </c>
      <c r="C14" s="109" t="s">
        <v>85</v>
      </c>
      <c r="D14" s="79"/>
      <c r="E14" s="92"/>
      <c r="F14" s="110" t="s">
        <v>86</v>
      </c>
      <c r="G14" s="111">
        <v>70000.0</v>
      </c>
      <c r="H14" s="112">
        <f t="shared" ref="H14:H15" si="1">50*2</f>
        <v>100</v>
      </c>
      <c r="I14" s="113">
        <v>0.917</v>
      </c>
      <c r="J14" s="111">
        <v>160.66666666666666</v>
      </c>
      <c r="K14" s="111">
        <f t="shared" ref="K14:K15" si="2">2155/12</f>
        <v>179.5833333</v>
      </c>
      <c r="L14" s="112">
        <v>17500.0</v>
      </c>
    </row>
    <row r="15">
      <c r="A15" s="107" t="s">
        <v>87</v>
      </c>
      <c r="B15" s="108">
        <v>76.0</v>
      </c>
      <c r="C15" s="109" t="s">
        <v>85</v>
      </c>
      <c r="D15" s="79"/>
      <c r="E15" s="92"/>
      <c r="F15" s="110" t="s">
        <v>88</v>
      </c>
      <c r="G15" s="111">
        <v>70000.0</v>
      </c>
      <c r="H15" s="112">
        <f t="shared" si="1"/>
        <v>100</v>
      </c>
      <c r="I15" s="113">
        <v>0.917</v>
      </c>
      <c r="J15" s="111">
        <v>160.66666666666666</v>
      </c>
      <c r="K15" s="111">
        <f t="shared" si="2"/>
        <v>179.5833333</v>
      </c>
      <c r="L15" s="112">
        <v>17500.0</v>
      </c>
    </row>
    <row r="16">
      <c r="A16" s="93" t="s">
        <v>89</v>
      </c>
      <c r="B16" s="114">
        <v>0.025</v>
      </c>
      <c r="C16" s="95" t="s">
        <v>90</v>
      </c>
      <c r="D16" s="79"/>
      <c r="E16" s="92"/>
      <c r="F16" s="115" t="s">
        <v>91</v>
      </c>
      <c r="G16" s="116">
        <f t="shared" ref="G16:H16" si="3">SUM(G14:G15)</f>
        <v>140000</v>
      </c>
      <c r="H16" s="116">
        <f t="shared" si="3"/>
        <v>200</v>
      </c>
      <c r="I16" s="117"/>
      <c r="J16" s="116">
        <f t="shared" ref="J16:L16" si="4">SUM(J14:J15)</f>
        <v>321.3333333</v>
      </c>
      <c r="K16" s="116">
        <f t="shared" si="4"/>
        <v>359.1666667</v>
      </c>
      <c r="L16" s="116">
        <f t="shared" si="4"/>
        <v>35000</v>
      </c>
    </row>
    <row r="17">
      <c r="A17" s="118" t="s">
        <v>92</v>
      </c>
      <c r="B17" s="94">
        <f>K16</f>
        <v>359.1666667</v>
      </c>
      <c r="C17" s="95" t="s">
        <v>85</v>
      </c>
      <c r="D17" s="79"/>
      <c r="E17" s="79"/>
      <c r="F17" s="79"/>
      <c r="G17" s="79"/>
      <c r="H17" s="79"/>
      <c r="I17" s="79"/>
      <c r="J17" s="79"/>
      <c r="K17" s="79"/>
      <c r="L17" s="79"/>
    </row>
    <row r="18">
      <c r="A18" s="118" t="s">
        <v>93</v>
      </c>
      <c r="B18" s="119">
        <f>L23</f>
        <v>1.230148009</v>
      </c>
      <c r="C18" s="95" t="s">
        <v>85</v>
      </c>
      <c r="D18" s="79"/>
      <c r="E18" s="79"/>
      <c r="F18" s="88"/>
      <c r="G18" s="88"/>
      <c r="H18" s="88"/>
      <c r="I18" s="88"/>
      <c r="J18" s="88"/>
      <c r="K18" s="88"/>
      <c r="L18" s="88"/>
    </row>
    <row r="19">
      <c r="A19" s="118" t="s">
        <v>94</v>
      </c>
      <c r="B19" s="120">
        <v>0.75</v>
      </c>
      <c r="C19" s="121" t="s">
        <v>95</v>
      </c>
      <c r="D19" s="79"/>
      <c r="E19" s="92"/>
      <c r="F19" s="102" t="s">
        <v>96</v>
      </c>
      <c r="G19" s="103"/>
      <c r="H19" s="103"/>
      <c r="I19" s="103"/>
      <c r="J19" s="103"/>
      <c r="K19" s="103"/>
      <c r="L19" s="104"/>
    </row>
    <row r="20">
      <c r="A20" s="93" t="s">
        <v>97</v>
      </c>
      <c r="B20" s="122">
        <v>0.25</v>
      </c>
      <c r="C20" s="95" t="s">
        <v>85</v>
      </c>
      <c r="D20" s="79"/>
      <c r="E20" s="92"/>
      <c r="F20" s="88"/>
      <c r="G20" s="123" t="s">
        <v>98</v>
      </c>
      <c r="H20" s="105" t="s">
        <v>99</v>
      </c>
      <c r="I20" s="105" t="s">
        <v>100</v>
      </c>
      <c r="J20" s="105" t="s">
        <v>101</v>
      </c>
      <c r="K20" s="105" t="s">
        <v>102</v>
      </c>
      <c r="L20" s="105" t="s">
        <v>103</v>
      </c>
    </row>
    <row r="21">
      <c r="A21" s="93" t="s">
        <v>104</v>
      </c>
      <c r="B21" s="122">
        <f>1-B20</f>
        <v>0.75</v>
      </c>
      <c r="C21" s="95" t="s">
        <v>105</v>
      </c>
      <c r="D21" s="79"/>
      <c r="E21" s="92"/>
      <c r="F21" s="115" t="s">
        <v>86</v>
      </c>
      <c r="G21" s="124">
        <f t="shared" ref="G21:G22" si="6">2*60.4+2*75.9</f>
        <v>272.6</v>
      </c>
      <c r="H21" s="125">
        <f t="shared" ref="H21:H22" si="7">2*37.2</f>
        <v>74.4</v>
      </c>
      <c r="I21" s="111">
        <f t="shared" ref="I21:I22" si="8">K14</f>
        <v>179.5833333</v>
      </c>
      <c r="J21" s="124">
        <f t="shared" ref="J21:K21" si="5">460*G21*1.73/1000*0.8</f>
        <v>173.548064</v>
      </c>
      <c r="K21" s="124">
        <f t="shared" si="5"/>
        <v>47.366016</v>
      </c>
      <c r="L21" s="126">
        <f t="shared" ref="L21:L23" si="10">(K21+J21)/I21</f>
        <v>1.230148009</v>
      </c>
    </row>
    <row r="22">
      <c r="A22" s="90" t="s">
        <v>106</v>
      </c>
      <c r="B22" s="91" t="s">
        <v>11</v>
      </c>
      <c r="C22" s="91" t="s">
        <v>58</v>
      </c>
      <c r="D22" s="79"/>
      <c r="E22" s="92"/>
      <c r="F22" s="115" t="s">
        <v>88</v>
      </c>
      <c r="G22" s="124">
        <f t="shared" si="6"/>
        <v>272.6</v>
      </c>
      <c r="H22" s="125">
        <f t="shared" si="7"/>
        <v>74.4</v>
      </c>
      <c r="I22" s="111">
        <f t="shared" si="8"/>
        <v>179.5833333</v>
      </c>
      <c r="J22" s="124">
        <f t="shared" ref="J22:K22" si="9">460*G22*1.73/1000*0.8</f>
        <v>173.548064</v>
      </c>
      <c r="K22" s="124">
        <f t="shared" si="9"/>
        <v>47.366016</v>
      </c>
      <c r="L22" s="126">
        <f t="shared" si="10"/>
        <v>1.230148009</v>
      </c>
    </row>
    <row r="23">
      <c r="A23" s="93" t="s">
        <v>107</v>
      </c>
      <c r="B23" s="127">
        <v>140000.0</v>
      </c>
      <c r="C23" s="95" t="s">
        <v>108</v>
      </c>
      <c r="D23" s="79"/>
      <c r="E23" s="92"/>
      <c r="F23" s="115" t="s">
        <v>91</v>
      </c>
      <c r="G23" s="116">
        <f t="shared" ref="G23:K23" si="11">SUM(G21:G22)</f>
        <v>545.2</v>
      </c>
      <c r="H23" s="125">
        <f t="shared" si="11"/>
        <v>148.8</v>
      </c>
      <c r="I23" s="111">
        <f t="shared" si="11"/>
        <v>359.1666667</v>
      </c>
      <c r="J23" s="124">
        <f t="shared" si="11"/>
        <v>347.096128</v>
      </c>
      <c r="K23" s="124">
        <f t="shared" si="11"/>
        <v>94.732032</v>
      </c>
      <c r="L23" s="126">
        <f t="shared" si="10"/>
        <v>1.230148009</v>
      </c>
    </row>
    <row r="24">
      <c r="A24" s="93" t="s">
        <v>109</v>
      </c>
      <c r="B24" s="108">
        <v>8.0</v>
      </c>
      <c r="C24" s="95" t="s">
        <v>110</v>
      </c>
      <c r="D24" s="79"/>
      <c r="E24" s="79"/>
      <c r="F24" s="79"/>
      <c r="G24" s="79"/>
      <c r="H24" s="79"/>
      <c r="I24" s="79"/>
      <c r="J24" s="79"/>
      <c r="K24" s="79"/>
      <c r="L24" s="79"/>
    </row>
    <row r="25">
      <c r="A25" s="128" t="s">
        <v>111</v>
      </c>
      <c r="B25" s="129">
        <v>0.0743</v>
      </c>
      <c r="C25" s="95" t="s">
        <v>112</v>
      </c>
      <c r="D25" s="79"/>
      <c r="E25" s="79"/>
      <c r="F25" s="79"/>
      <c r="G25" s="79"/>
      <c r="H25" s="79"/>
      <c r="I25" s="79"/>
      <c r="J25" s="79"/>
      <c r="K25" s="79"/>
      <c r="L25" s="79"/>
    </row>
    <row r="26">
      <c r="A26" s="128" t="s">
        <v>113</v>
      </c>
      <c r="B26" s="130">
        <v>26.39</v>
      </c>
      <c r="C26" s="95" t="s">
        <v>114</v>
      </c>
      <c r="D26" s="79"/>
      <c r="E26" s="79"/>
      <c r="F26" s="88"/>
      <c r="G26" s="88"/>
      <c r="H26" s="88"/>
      <c r="I26" s="79"/>
      <c r="J26" s="79"/>
      <c r="K26" s="79"/>
      <c r="L26" s="79"/>
    </row>
    <row r="27">
      <c r="A27" s="131" t="s">
        <v>115</v>
      </c>
      <c r="B27" s="129">
        <v>0.0736</v>
      </c>
      <c r="C27" s="95" t="s">
        <v>112</v>
      </c>
      <c r="D27" s="79"/>
      <c r="E27" s="79"/>
      <c r="F27" s="132" t="s">
        <v>48</v>
      </c>
      <c r="G27" s="91" t="s">
        <v>49</v>
      </c>
      <c r="H27" s="133" t="s">
        <v>50</v>
      </c>
      <c r="I27" s="79"/>
      <c r="J27" s="79"/>
      <c r="K27" s="79"/>
      <c r="L27" s="79"/>
    </row>
    <row r="28">
      <c r="A28" s="131" t="s">
        <v>116</v>
      </c>
      <c r="B28" s="129">
        <v>28.7</v>
      </c>
      <c r="C28" s="95" t="s">
        <v>114</v>
      </c>
      <c r="D28" s="79"/>
      <c r="E28" s="92"/>
      <c r="F28" s="125">
        <v>69.0</v>
      </c>
      <c r="G28" s="125">
        <v>0.0747</v>
      </c>
      <c r="H28" s="125">
        <v>24.77</v>
      </c>
      <c r="I28" s="79"/>
      <c r="J28" s="79"/>
      <c r="K28" s="79"/>
      <c r="L28" s="79"/>
    </row>
    <row r="29">
      <c r="A29" s="79"/>
      <c r="B29" s="79"/>
      <c r="C29" s="79"/>
      <c r="D29" s="79"/>
      <c r="E29" s="92"/>
      <c r="F29" s="125">
        <v>70.0</v>
      </c>
      <c r="G29" s="125">
        <v>0.0746</v>
      </c>
      <c r="H29" s="125">
        <v>25.3</v>
      </c>
      <c r="I29" s="79"/>
      <c r="J29" s="79"/>
      <c r="K29" s="79"/>
      <c r="L29" s="79"/>
    </row>
    <row r="30">
      <c r="A30" s="134"/>
      <c r="B30" s="134"/>
      <c r="C30" s="134"/>
      <c r="D30" s="134"/>
      <c r="E30" s="92"/>
      <c r="F30" s="125">
        <v>71.0</v>
      </c>
      <c r="G30" s="125">
        <v>0.0744</v>
      </c>
      <c r="H30" s="125">
        <v>25.84</v>
      </c>
      <c r="I30" s="79"/>
      <c r="J30" s="79"/>
      <c r="K30" s="79"/>
      <c r="L30" s="79"/>
    </row>
    <row r="31">
      <c r="A31" s="135" t="s">
        <v>117</v>
      </c>
      <c r="B31" s="79"/>
      <c r="C31" s="79"/>
      <c r="D31" s="79"/>
      <c r="E31" s="92"/>
      <c r="F31" s="125">
        <v>72.0</v>
      </c>
      <c r="G31" s="125">
        <v>0.0743</v>
      </c>
      <c r="H31" s="125">
        <v>26.39</v>
      </c>
      <c r="I31" s="79"/>
      <c r="J31" s="79"/>
      <c r="K31" s="79"/>
      <c r="L31" s="79"/>
    </row>
    <row r="32">
      <c r="A32" s="135"/>
      <c r="B32" s="79"/>
      <c r="C32" s="79"/>
      <c r="D32" s="79"/>
      <c r="E32" s="92"/>
      <c r="F32" s="125">
        <v>73.0</v>
      </c>
      <c r="G32" s="125">
        <v>0.0741</v>
      </c>
      <c r="H32" s="125">
        <v>26.95</v>
      </c>
      <c r="I32" s="79"/>
      <c r="J32" s="79"/>
      <c r="K32" s="79"/>
      <c r="L32" s="79"/>
    </row>
    <row r="33">
      <c r="A33" s="136" t="s">
        <v>118</v>
      </c>
      <c r="B33" s="137" t="s">
        <v>119</v>
      </c>
      <c r="C33" s="79"/>
      <c r="D33" s="79"/>
      <c r="E33" s="92"/>
      <c r="F33" s="125">
        <v>74.0</v>
      </c>
      <c r="G33" s="125">
        <v>0.0739</v>
      </c>
      <c r="H33" s="125">
        <v>27.52</v>
      </c>
      <c r="I33" s="79"/>
      <c r="J33" s="79"/>
      <c r="K33" s="79"/>
      <c r="L33" s="79"/>
    </row>
    <row r="34">
      <c r="A34" s="138" t="s">
        <v>120</v>
      </c>
      <c r="B34" s="139">
        <f>B6*(B14-B13)*1.08</f>
        <v>2797200</v>
      </c>
      <c r="C34" s="136">
        <f>B34/12000</f>
        <v>233.1</v>
      </c>
      <c r="D34" s="79"/>
      <c r="E34" s="92"/>
      <c r="F34" s="125">
        <v>75.0</v>
      </c>
      <c r="G34" s="125">
        <v>0.0738</v>
      </c>
      <c r="H34" s="125">
        <v>28.1</v>
      </c>
      <c r="I34" s="79"/>
      <c r="J34" s="79"/>
      <c r="K34" s="79"/>
      <c r="L34" s="79"/>
    </row>
    <row r="35">
      <c r="A35" s="138"/>
      <c r="B35" s="139"/>
      <c r="C35" s="140"/>
      <c r="D35" s="79"/>
      <c r="E35" s="92"/>
      <c r="F35" s="125">
        <v>76.0</v>
      </c>
      <c r="G35" s="125">
        <v>0.0736</v>
      </c>
      <c r="H35" s="125">
        <v>28.7</v>
      </c>
      <c r="I35" s="79"/>
      <c r="J35" s="79"/>
      <c r="K35" s="79"/>
      <c r="L35" s="79"/>
    </row>
    <row r="36">
      <c r="A36" s="136" t="s">
        <v>121</v>
      </c>
      <c r="B36" s="141" t="s">
        <v>122</v>
      </c>
      <c r="C36" s="79"/>
      <c r="D36" s="79"/>
      <c r="E36" s="92"/>
      <c r="F36" s="125">
        <v>77.0</v>
      </c>
      <c r="G36" s="125">
        <v>0.0735</v>
      </c>
      <c r="H36" s="125">
        <v>29.3</v>
      </c>
      <c r="I36" s="79"/>
      <c r="J36" s="79"/>
      <c r="K36" s="79"/>
      <c r="L36" s="79"/>
    </row>
    <row r="37">
      <c r="A37" s="136" t="s">
        <v>121</v>
      </c>
      <c r="B37" s="139">
        <f>B34/(1.08*(B15-B13))</f>
        <v>115111.1111</v>
      </c>
      <c r="C37" s="79"/>
      <c r="D37" s="79"/>
      <c r="E37" s="79"/>
      <c r="F37" s="79"/>
      <c r="G37" s="79"/>
      <c r="H37" s="79"/>
      <c r="I37" s="79"/>
      <c r="J37" s="79"/>
      <c r="K37" s="79"/>
      <c r="L37" s="79"/>
    </row>
    <row r="38">
      <c r="A38" s="142"/>
      <c r="B38" s="88"/>
      <c r="C38" s="88"/>
      <c r="D38" s="79"/>
      <c r="E38" s="79"/>
      <c r="F38" s="79"/>
      <c r="G38" s="79"/>
      <c r="H38" s="79"/>
      <c r="I38" s="79"/>
      <c r="J38" s="79"/>
      <c r="K38" s="79"/>
      <c r="L38" s="79"/>
    </row>
    <row r="39">
      <c r="A39" s="90" t="s">
        <v>123</v>
      </c>
      <c r="B39" s="143">
        <f>1-(B37/B6)</f>
        <v>0.1777777778</v>
      </c>
      <c r="C39" s="144"/>
      <c r="D39" s="79"/>
      <c r="E39" s="79"/>
      <c r="F39" s="79"/>
      <c r="G39" s="79"/>
      <c r="H39" s="79"/>
      <c r="I39" s="79"/>
      <c r="J39" s="79"/>
      <c r="K39" s="79"/>
      <c r="L39" s="79"/>
    </row>
    <row r="40">
      <c r="A40" s="79"/>
      <c r="B40" s="79"/>
      <c r="C40" s="79"/>
      <c r="D40" s="79"/>
      <c r="E40" s="79"/>
      <c r="F40" s="79"/>
      <c r="G40" s="79"/>
      <c r="H40" s="79"/>
      <c r="I40" s="79"/>
      <c r="J40" s="79"/>
      <c r="K40" s="79"/>
      <c r="L40" s="79"/>
    </row>
    <row r="41">
      <c r="A41" s="134"/>
      <c r="B41" s="134"/>
      <c r="C41" s="134"/>
      <c r="D41" s="134"/>
      <c r="E41" s="79"/>
      <c r="F41" s="79"/>
      <c r="G41" s="79"/>
      <c r="H41" s="79"/>
      <c r="I41" s="79"/>
      <c r="J41" s="79"/>
      <c r="K41" s="79"/>
      <c r="L41" s="79"/>
    </row>
    <row r="42">
      <c r="A42" s="145" t="s">
        <v>124</v>
      </c>
      <c r="B42" s="79"/>
      <c r="C42" s="79"/>
      <c r="D42" s="79"/>
      <c r="E42" s="79"/>
      <c r="F42" s="79"/>
      <c r="G42" s="79"/>
      <c r="H42" s="79"/>
      <c r="I42" s="79"/>
      <c r="J42" s="79"/>
      <c r="K42" s="79"/>
      <c r="L42" s="79"/>
    </row>
    <row r="43">
      <c r="A43" s="79"/>
      <c r="B43" s="79"/>
      <c r="C43" s="79"/>
      <c r="D43" s="79"/>
      <c r="E43" s="79"/>
      <c r="F43" s="79"/>
      <c r="G43" s="79"/>
      <c r="H43" s="79"/>
      <c r="I43" s="79"/>
      <c r="J43" s="79"/>
      <c r="K43" s="79"/>
      <c r="L43" s="79"/>
    </row>
    <row r="44">
      <c r="A44" s="146" t="s">
        <v>125</v>
      </c>
      <c r="B44" s="147" t="s">
        <v>126</v>
      </c>
      <c r="C44" s="103"/>
      <c r="D44" s="79"/>
      <c r="E44" s="79"/>
      <c r="F44" s="79"/>
      <c r="G44" s="79"/>
      <c r="H44" s="79"/>
      <c r="I44" s="79"/>
      <c r="J44" s="79"/>
      <c r="K44" s="79"/>
      <c r="L44" s="79"/>
    </row>
    <row r="45">
      <c r="A45" s="79"/>
      <c r="B45" s="79" t="s">
        <v>127</v>
      </c>
      <c r="D45" s="79"/>
      <c r="E45" s="79"/>
      <c r="F45" s="79"/>
      <c r="G45" s="79"/>
      <c r="H45" s="79"/>
      <c r="I45" s="79"/>
      <c r="J45" s="79"/>
      <c r="K45" s="79"/>
      <c r="L45" s="79"/>
    </row>
    <row r="46">
      <c r="A46" s="88"/>
      <c r="B46" s="88"/>
      <c r="C46" s="88"/>
      <c r="D46" s="79"/>
      <c r="E46" s="79"/>
      <c r="F46" s="79"/>
      <c r="G46" s="79"/>
      <c r="H46" s="79"/>
      <c r="I46" s="79"/>
      <c r="J46" s="79"/>
      <c r="K46" s="79"/>
      <c r="L46" s="79"/>
    </row>
    <row r="47">
      <c r="A47" s="90" t="s">
        <v>128</v>
      </c>
      <c r="B47" s="148">
        <f>B6*B8*0.747/(6356*B11*B12)</f>
        <v>138.6505683</v>
      </c>
      <c r="C47" s="144" t="s">
        <v>129</v>
      </c>
      <c r="D47" s="79"/>
      <c r="E47" s="79"/>
      <c r="F47" s="79"/>
      <c r="G47" s="79"/>
      <c r="H47" s="79"/>
      <c r="I47" s="79"/>
      <c r="J47" s="79"/>
      <c r="K47" s="79"/>
      <c r="L47" s="79"/>
    </row>
    <row r="48">
      <c r="A48" s="88"/>
      <c r="B48" s="88"/>
      <c r="C48" s="88"/>
      <c r="D48" s="79"/>
      <c r="E48" s="79"/>
      <c r="F48" s="79"/>
      <c r="G48" s="79"/>
      <c r="H48" s="79"/>
      <c r="I48" s="79"/>
      <c r="J48" s="79"/>
      <c r="K48" s="79"/>
      <c r="L48" s="79"/>
    </row>
    <row r="49">
      <c r="A49" s="90" t="s">
        <v>130</v>
      </c>
      <c r="B49" s="148">
        <f>B37*B8*0.747/(6356*B11*B12)</f>
        <v>114.0015783</v>
      </c>
      <c r="C49" s="144" t="s">
        <v>129</v>
      </c>
      <c r="D49" s="79"/>
      <c r="E49" s="79"/>
      <c r="F49" s="79"/>
      <c r="G49" s="79"/>
      <c r="H49" s="79"/>
      <c r="I49" s="79"/>
      <c r="J49" s="79"/>
      <c r="K49" s="79"/>
      <c r="L49" s="79"/>
    </row>
    <row r="50">
      <c r="A50" s="134"/>
      <c r="B50" s="134"/>
      <c r="C50" s="134"/>
      <c r="D50" s="79"/>
      <c r="E50" s="79"/>
      <c r="F50" s="79"/>
      <c r="G50" s="79"/>
      <c r="H50" s="79"/>
      <c r="I50" s="79"/>
      <c r="J50" s="79"/>
      <c r="K50" s="79"/>
      <c r="L50" s="79"/>
    </row>
    <row r="51">
      <c r="A51" s="149" t="s">
        <v>131</v>
      </c>
      <c r="B51" s="150">
        <f>B47-B49</f>
        <v>24.64898991</v>
      </c>
      <c r="C51" s="151" t="s">
        <v>129</v>
      </c>
      <c r="D51" s="79"/>
      <c r="E51" s="79"/>
      <c r="F51" s="79"/>
      <c r="G51" s="79"/>
      <c r="H51" s="79"/>
      <c r="I51" s="79"/>
      <c r="J51" s="79"/>
      <c r="K51" s="79"/>
      <c r="L51" s="79"/>
    </row>
    <row r="52">
      <c r="A52" s="79"/>
      <c r="B52" s="79"/>
      <c r="C52" s="79"/>
      <c r="D52" s="79"/>
      <c r="E52" s="79"/>
      <c r="F52" s="79"/>
      <c r="G52" s="79"/>
      <c r="I52" s="79"/>
      <c r="J52" s="79"/>
      <c r="K52" s="79"/>
      <c r="L52" s="79"/>
    </row>
    <row r="53">
      <c r="A53" s="134"/>
      <c r="B53" s="134"/>
      <c r="C53" s="134"/>
      <c r="D53" s="134"/>
      <c r="E53" s="79"/>
      <c r="F53" s="79"/>
      <c r="G53" s="79"/>
      <c r="H53" s="79"/>
      <c r="I53" s="79"/>
      <c r="J53" s="79"/>
      <c r="K53" s="79"/>
      <c r="L53" s="79"/>
    </row>
    <row r="54">
      <c r="A54" s="145" t="s">
        <v>132</v>
      </c>
      <c r="B54" s="79"/>
      <c r="C54" s="79"/>
      <c r="D54" s="79"/>
      <c r="E54" s="79"/>
      <c r="F54" s="79"/>
      <c r="G54" s="79"/>
      <c r="H54" s="79"/>
      <c r="I54" s="79"/>
      <c r="J54" s="79"/>
      <c r="K54" s="79"/>
      <c r="L54" s="79"/>
    </row>
    <row r="55">
      <c r="A55" s="79"/>
      <c r="B55" s="79"/>
      <c r="C55" s="79"/>
      <c r="D55" s="79"/>
      <c r="E55" s="79"/>
      <c r="F55" s="79"/>
      <c r="G55" s="79"/>
      <c r="H55" s="79"/>
      <c r="I55" s="79"/>
      <c r="J55" s="79"/>
      <c r="K55" s="79"/>
      <c r="L55" s="79"/>
    </row>
    <row r="56">
      <c r="A56" s="136" t="s">
        <v>133</v>
      </c>
      <c r="B56" s="152" t="s">
        <v>134</v>
      </c>
      <c r="C56" s="103"/>
      <c r="D56" s="79"/>
      <c r="E56" s="79"/>
      <c r="F56" s="79"/>
      <c r="G56" s="79"/>
      <c r="H56" s="79"/>
      <c r="I56" s="79"/>
      <c r="J56" s="79"/>
      <c r="K56" s="79"/>
      <c r="L56" s="79"/>
    </row>
    <row r="57">
      <c r="A57" s="79"/>
      <c r="B57" s="79" t="s">
        <v>127</v>
      </c>
      <c r="D57" s="79"/>
      <c r="E57" s="79"/>
      <c r="F57" s="79"/>
      <c r="G57" s="79"/>
      <c r="H57" s="79"/>
      <c r="I57" s="79"/>
      <c r="J57" s="79"/>
      <c r="K57" s="79"/>
      <c r="L57" s="79"/>
    </row>
    <row r="58">
      <c r="A58" s="88"/>
      <c r="B58" s="88"/>
      <c r="C58" s="88"/>
      <c r="D58" s="79"/>
      <c r="E58" s="79"/>
      <c r="F58" s="79"/>
      <c r="G58" s="79"/>
      <c r="H58" s="79"/>
      <c r="I58" s="79"/>
      <c r="J58" s="79"/>
      <c r="K58" s="79"/>
      <c r="L58" s="79"/>
    </row>
    <row r="59">
      <c r="A59" s="90" t="s">
        <v>135</v>
      </c>
      <c r="B59" s="148">
        <f>B37*B10*0.747/(6356*B11*B12)</f>
        <v>107.2956031</v>
      </c>
      <c r="C59" s="144" t="s">
        <v>129</v>
      </c>
      <c r="D59" s="79"/>
      <c r="E59" s="79"/>
      <c r="F59" s="79"/>
      <c r="G59" s="79"/>
      <c r="H59" s="79"/>
      <c r="I59" s="79"/>
      <c r="J59" s="79"/>
      <c r="K59" s="79"/>
      <c r="L59" s="79"/>
    </row>
    <row r="60">
      <c r="A60" s="134"/>
      <c r="B60" s="134"/>
      <c r="C60" s="134"/>
      <c r="D60" s="79"/>
      <c r="E60" s="79"/>
      <c r="F60" s="79"/>
      <c r="G60" s="79"/>
      <c r="H60" s="79"/>
      <c r="I60" s="79"/>
      <c r="J60" s="79"/>
      <c r="K60" s="79"/>
      <c r="L60" s="79"/>
    </row>
    <row r="61">
      <c r="A61" s="149" t="s">
        <v>136</v>
      </c>
      <c r="B61" s="150">
        <f>B49-B59</f>
        <v>6.705975196</v>
      </c>
      <c r="C61" s="151" t="s">
        <v>129</v>
      </c>
      <c r="D61" s="79"/>
      <c r="E61" s="79"/>
      <c r="F61" s="79"/>
      <c r="G61" s="79"/>
      <c r="H61" s="79"/>
      <c r="I61" s="79"/>
      <c r="J61" s="79"/>
      <c r="K61" s="79"/>
      <c r="L61" s="79"/>
    </row>
    <row r="62">
      <c r="A62" s="153" t="s">
        <v>137</v>
      </c>
      <c r="B62" s="79"/>
      <c r="C62" s="79"/>
      <c r="D62" s="79"/>
      <c r="E62" s="79"/>
      <c r="F62" s="79"/>
      <c r="G62" s="79"/>
      <c r="H62" s="79"/>
      <c r="I62" s="79"/>
      <c r="J62" s="79"/>
      <c r="K62" s="79"/>
      <c r="L62" s="79"/>
    </row>
    <row r="63">
      <c r="A63" s="79"/>
      <c r="B63" s="79"/>
      <c r="C63" s="79"/>
      <c r="D63" s="79"/>
      <c r="E63" s="79"/>
      <c r="F63" s="79"/>
      <c r="G63" s="79"/>
      <c r="H63" s="79"/>
      <c r="I63" s="79"/>
      <c r="J63" s="79"/>
      <c r="K63" s="79"/>
      <c r="L63" s="79"/>
    </row>
    <row r="64">
      <c r="A64" s="134"/>
      <c r="B64" s="134"/>
      <c r="C64" s="134"/>
      <c r="D64" s="134"/>
      <c r="E64" s="79"/>
      <c r="F64" s="79"/>
      <c r="G64" s="79"/>
      <c r="H64" s="79"/>
      <c r="I64" s="79"/>
      <c r="J64" s="79"/>
      <c r="K64" s="79"/>
      <c r="L64" s="79"/>
    </row>
    <row r="65">
      <c r="A65" s="154" t="s">
        <v>138</v>
      </c>
      <c r="B65" s="79"/>
      <c r="C65" s="79"/>
      <c r="D65" s="79"/>
      <c r="E65" s="79"/>
      <c r="F65" s="79"/>
      <c r="G65" s="79"/>
      <c r="H65" s="79"/>
      <c r="I65" s="79"/>
      <c r="J65" s="79"/>
      <c r="K65" s="79"/>
      <c r="L65" s="79"/>
    </row>
    <row r="66">
      <c r="A66" s="134"/>
      <c r="B66" s="134"/>
      <c r="C66" s="134"/>
      <c r="D66" s="79"/>
      <c r="E66" s="79"/>
      <c r="F66" s="79"/>
      <c r="G66" s="79"/>
      <c r="H66" s="79"/>
      <c r="I66" s="79"/>
      <c r="J66" s="79"/>
      <c r="K66" s="79"/>
      <c r="L66" s="79"/>
    </row>
    <row r="67">
      <c r="A67" s="149" t="s">
        <v>139</v>
      </c>
      <c r="B67" s="150">
        <f>B51+B61</f>
        <v>31.35496511</v>
      </c>
      <c r="C67" s="151" t="s">
        <v>129</v>
      </c>
      <c r="D67" s="79"/>
      <c r="E67" s="79"/>
      <c r="F67" s="79"/>
      <c r="G67" s="79"/>
      <c r="H67" s="79"/>
      <c r="I67" s="79"/>
      <c r="J67" s="79"/>
      <c r="K67" s="79"/>
      <c r="L67" s="79"/>
    </row>
    <row r="68">
      <c r="A68" s="153" t="s">
        <v>140</v>
      </c>
      <c r="B68" s="79"/>
      <c r="C68" s="79"/>
      <c r="D68" s="79"/>
      <c r="E68" s="79"/>
      <c r="F68" s="79"/>
      <c r="G68" s="79"/>
      <c r="H68" s="79"/>
      <c r="I68" s="79"/>
      <c r="J68" s="79"/>
      <c r="K68" s="79"/>
      <c r="L68" s="79"/>
    </row>
    <row r="69">
      <c r="A69" s="79"/>
      <c r="B69" s="79"/>
      <c r="C69" s="79"/>
      <c r="D69" s="79"/>
      <c r="E69" s="79"/>
      <c r="F69" s="79"/>
      <c r="G69" s="79"/>
      <c r="H69" s="79"/>
      <c r="I69" s="79"/>
      <c r="J69" s="79"/>
      <c r="K69" s="79"/>
      <c r="L69" s="79"/>
    </row>
    <row r="70">
      <c r="A70" s="134"/>
      <c r="B70" s="134"/>
      <c r="C70" s="134"/>
      <c r="D70" s="134"/>
      <c r="E70" s="79"/>
      <c r="F70" s="79"/>
      <c r="G70" s="79"/>
      <c r="H70" s="79"/>
      <c r="I70" s="79"/>
      <c r="J70" s="79"/>
      <c r="K70" s="79"/>
      <c r="L70" s="79"/>
    </row>
    <row r="71">
      <c r="A71" s="154" t="s">
        <v>141</v>
      </c>
      <c r="B71" s="79"/>
      <c r="C71" s="79"/>
      <c r="D71" s="79"/>
      <c r="E71" s="79"/>
      <c r="F71" s="79"/>
      <c r="G71" s="79"/>
      <c r="H71" s="79"/>
      <c r="I71" s="79"/>
      <c r="J71" s="79"/>
      <c r="K71" s="79"/>
      <c r="L71" s="79"/>
    </row>
    <row r="72">
      <c r="A72" s="79"/>
      <c r="B72" s="79"/>
      <c r="C72" s="79"/>
      <c r="D72" s="79"/>
      <c r="E72" s="79"/>
      <c r="F72" s="79"/>
      <c r="G72" s="79"/>
      <c r="H72" s="79"/>
      <c r="I72" s="79"/>
      <c r="J72" s="79"/>
      <c r="K72" s="79"/>
      <c r="L72" s="79"/>
    </row>
    <row r="73">
      <c r="A73" s="146" t="s">
        <v>142</v>
      </c>
      <c r="B73" s="155" t="s">
        <v>143</v>
      </c>
      <c r="C73" s="103"/>
      <c r="D73" s="79"/>
      <c r="E73" s="79"/>
      <c r="F73" s="79"/>
      <c r="G73" s="79"/>
      <c r="H73" s="79"/>
      <c r="I73" s="79"/>
      <c r="J73" s="79"/>
      <c r="K73" s="79"/>
      <c r="L73" s="79"/>
    </row>
    <row r="74">
      <c r="A74" s="79"/>
      <c r="B74" s="156">
        <v>12000.0</v>
      </c>
      <c r="D74" s="79"/>
      <c r="E74" s="79"/>
      <c r="F74" s="79"/>
      <c r="G74" s="79"/>
      <c r="H74" s="79"/>
      <c r="I74" s="79"/>
      <c r="J74" s="79"/>
      <c r="K74" s="79"/>
      <c r="L74" s="79"/>
    </row>
    <row r="75">
      <c r="A75" s="88"/>
      <c r="B75" s="88"/>
      <c r="C75" s="88"/>
      <c r="D75" s="79"/>
      <c r="E75" s="79"/>
      <c r="F75" s="79"/>
      <c r="G75" s="79"/>
      <c r="H75" s="79"/>
      <c r="I75" s="79"/>
      <c r="J75" s="79"/>
      <c r="K75" s="79"/>
      <c r="L75" s="79"/>
    </row>
    <row r="76">
      <c r="A76" s="90" t="s">
        <v>144</v>
      </c>
      <c r="B76" s="148">
        <f>B67*3413*B21/12000</f>
        <v>6.688405994</v>
      </c>
      <c r="C76" s="144" t="s">
        <v>145</v>
      </c>
      <c r="D76" s="79"/>
      <c r="E76" s="79"/>
      <c r="F76" s="79"/>
      <c r="G76" s="79"/>
      <c r="H76" s="79"/>
      <c r="I76" s="79"/>
      <c r="J76" s="79"/>
      <c r="K76" s="79"/>
      <c r="L76" s="79"/>
    </row>
    <row r="77">
      <c r="A77" s="79"/>
      <c r="B77" s="157"/>
      <c r="C77" s="79"/>
      <c r="D77" s="79"/>
      <c r="E77" s="79"/>
      <c r="F77" s="79"/>
      <c r="G77" s="79"/>
      <c r="H77" s="79"/>
      <c r="I77" s="79"/>
      <c r="J77" s="79"/>
      <c r="K77" s="79"/>
      <c r="L77" s="79"/>
    </row>
    <row r="78">
      <c r="A78" s="146" t="s">
        <v>146</v>
      </c>
      <c r="B78" s="158" t="s">
        <v>147</v>
      </c>
      <c r="C78" s="79"/>
      <c r="D78" s="79"/>
      <c r="E78" s="79"/>
      <c r="F78" s="79"/>
      <c r="G78" s="79"/>
      <c r="H78" s="79"/>
      <c r="I78" s="79"/>
      <c r="J78" s="79"/>
      <c r="K78" s="79"/>
      <c r="L78" s="79"/>
    </row>
    <row r="79">
      <c r="A79" s="134"/>
      <c r="B79" s="134"/>
      <c r="C79" s="134"/>
      <c r="D79" s="79"/>
      <c r="E79" s="79"/>
      <c r="F79" s="79"/>
      <c r="G79" s="79"/>
      <c r="H79" s="79"/>
      <c r="I79" s="79"/>
      <c r="J79" s="79"/>
      <c r="K79" s="79"/>
      <c r="L79" s="79"/>
    </row>
    <row r="80">
      <c r="A80" s="159" t="s">
        <v>148</v>
      </c>
      <c r="B80" s="150">
        <f>B76*B18</f>
        <v>8.227729319</v>
      </c>
      <c r="C80" s="151" t="s">
        <v>129</v>
      </c>
      <c r="D80" s="79"/>
      <c r="E80" s="79"/>
      <c r="F80" s="79"/>
      <c r="G80" s="79"/>
      <c r="H80" s="79"/>
      <c r="I80" s="79"/>
      <c r="J80" s="79"/>
      <c r="K80" s="79"/>
      <c r="L80" s="79"/>
    </row>
    <row r="81">
      <c r="A81" s="160"/>
      <c r="B81" s="79"/>
      <c r="C81" s="79"/>
      <c r="D81" s="79"/>
      <c r="E81" s="79"/>
      <c r="F81" s="79"/>
      <c r="G81" s="79"/>
      <c r="H81" s="79"/>
      <c r="I81" s="79"/>
      <c r="J81" s="79"/>
      <c r="K81" s="79"/>
      <c r="L81" s="79"/>
    </row>
    <row r="82">
      <c r="A82" s="134"/>
      <c r="B82" s="134"/>
      <c r="C82" s="134"/>
      <c r="D82" s="134"/>
      <c r="E82" s="79"/>
      <c r="F82" s="79"/>
      <c r="G82" s="79"/>
      <c r="H82" s="79"/>
      <c r="I82" s="79"/>
      <c r="J82" s="79"/>
      <c r="K82" s="79"/>
      <c r="L82" s="79"/>
    </row>
    <row r="83">
      <c r="A83" s="161" t="s">
        <v>149</v>
      </c>
      <c r="B83" s="79"/>
      <c r="C83" s="79"/>
      <c r="D83" s="79"/>
      <c r="E83" s="79"/>
      <c r="F83" s="79"/>
      <c r="G83" s="79"/>
      <c r="H83" s="79"/>
      <c r="I83" s="79"/>
      <c r="J83" s="79"/>
      <c r="K83" s="79"/>
      <c r="L83" s="79"/>
    </row>
    <row r="84">
      <c r="A84" s="135"/>
      <c r="B84" s="79"/>
      <c r="C84" s="79"/>
      <c r="D84" s="79"/>
      <c r="E84" s="79"/>
      <c r="F84" s="79"/>
      <c r="G84" s="79"/>
      <c r="H84" s="79"/>
      <c r="I84" s="79"/>
      <c r="J84" s="79"/>
      <c r="K84" s="79"/>
      <c r="L84" s="79"/>
    </row>
    <row r="85">
      <c r="A85" s="137" t="s">
        <v>150</v>
      </c>
      <c r="B85" s="79"/>
      <c r="C85" s="79"/>
      <c r="D85" s="79"/>
      <c r="E85" s="79"/>
      <c r="F85" s="79"/>
      <c r="G85" s="79"/>
      <c r="H85" s="79"/>
      <c r="I85" s="79"/>
      <c r="J85" s="79"/>
      <c r="K85" s="79"/>
      <c r="L85" s="79"/>
    </row>
    <row r="86">
      <c r="A86" s="136"/>
      <c r="B86" s="139"/>
      <c r="C86" s="79"/>
      <c r="D86" s="79"/>
      <c r="E86" s="79"/>
      <c r="F86" s="79"/>
      <c r="G86" s="79"/>
      <c r="H86" s="79"/>
      <c r="I86" s="79"/>
      <c r="J86" s="79"/>
      <c r="K86" s="79"/>
      <c r="L86" s="79"/>
    </row>
    <row r="87">
      <c r="A87" s="146" t="s">
        <v>151</v>
      </c>
      <c r="B87" s="137" t="s">
        <v>152</v>
      </c>
      <c r="C87" s="79"/>
      <c r="D87" s="79"/>
      <c r="E87" s="79"/>
      <c r="F87" s="79"/>
      <c r="G87" s="79"/>
      <c r="H87" s="79"/>
      <c r="I87" s="79"/>
      <c r="J87" s="79"/>
      <c r="K87" s="79"/>
      <c r="L87" s="79"/>
    </row>
    <row r="88">
      <c r="A88" s="142"/>
      <c r="B88" s="88"/>
      <c r="C88" s="88"/>
      <c r="D88" s="79"/>
      <c r="E88" s="79"/>
      <c r="F88" s="79"/>
      <c r="G88" s="79"/>
      <c r="H88" s="79"/>
      <c r="I88" s="79"/>
      <c r="J88" s="79"/>
      <c r="K88" s="79"/>
      <c r="L88" s="79"/>
    </row>
    <row r="89">
      <c r="A89" s="162" t="s">
        <v>153</v>
      </c>
      <c r="B89" s="148">
        <f>B17*B18*B19</f>
        <v>331.37112</v>
      </c>
      <c r="C89" s="144"/>
      <c r="D89" s="79"/>
      <c r="E89" s="79"/>
      <c r="F89" s="79"/>
      <c r="G89" s="79"/>
      <c r="H89" s="79"/>
      <c r="I89" s="79"/>
      <c r="J89" s="79"/>
      <c r="K89" s="79"/>
      <c r="L89" s="79"/>
    </row>
    <row r="90">
      <c r="A90" s="79"/>
      <c r="B90" s="79"/>
      <c r="C90" s="79"/>
      <c r="D90" s="79"/>
      <c r="E90" s="79"/>
      <c r="F90" s="79"/>
      <c r="G90" s="79"/>
      <c r="H90" s="79"/>
      <c r="I90" s="79"/>
      <c r="J90" s="79"/>
      <c r="K90" s="79"/>
      <c r="L90" s="79"/>
    </row>
    <row r="91">
      <c r="A91" s="146" t="s">
        <v>154</v>
      </c>
      <c r="B91" s="137" t="s">
        <v>155</v>
      </c>
      <c r="C91" s="79"/>
      <c r="D91" s="79"/>
      <c r="E91" s="79"/>
      <c r="F91" s="79"/>
      <c r="G91" s="79"/>
      <c r="H91" s="79"/>
      <c r="I91" s="79"/>
      <c r="J91" s="79"/>
      <c r="K91" s="79"/>
      <c r="L91" s="79"/>
    </row>
    <row r="92">
      <c r="A92" s="88"/>
      <c r="B92" s="88"/>
      <c r="C92" s="88"/>
      <c r="D92" s="79"/>
      <c r="E92" s="79"/>
      <c r="F92" s="79"/>
      <c r="G92" s="79"/>
      <c r="H92" s="79"/>
      <c r="I92" s="79"/>
      <c r="J92" s="79"/>
      <c r="K92" s="79"/>
      <c r="L92" s="79"/>
    </row>
    <row r="93">
      <c r="A93" s="162" t="s">
        <v>156</v>
      </c>
      <c r="B93" s="148">
        <f>B89*(1-B16*(B15-B14))</f>
        <v>298.234008</v>
      </c>
      <c r="C93" s="144"/>
      <c r="D93" s="79"/>
      <c r="E93" s="79"/>
      <c r="F93" s="79"/>
      <c r="G93" s="79"/>
      <c r="H93" s="79"/>
      <c r="I93" s="79"/>
      <c r="J93" s="79"/>
      <c r="K93" s="79"/>
      <c r="L93" s="79"/>
    </row>
    <row r="94">
      <c r="A94" s="79"/>
      <c r="B94" s="79"/>
      <c r="C94" s="79"/>
      <c r="D94" s="79"/>
      <c r="E94" s="79"/>
      <c r="F94" s="79"/>
      <c r="G94" s="79"/>
      <c r="H94" s="79"/>
      <c r="I94" s="79"/>
      <c r="J94" s="79"/>
      <c r="K94" s="79"/>
      <c r="L94" s="79"/>
    </row>
    <row r="95">
      <c r="A95" s="146" t="s">
        <v>157</v>
      </c>
      <c r="B95" s="137" t="s">
        <v>158</v>
      </c>
      <c r="C95" s="79"/>
      <c r="D95" s="79"/>
      <c r="E95" s="79"/>
      <c r="F95" s="79"/>
      <c r="G95" s="79"/>
      <c r="H95" s="79"/>
      <c r="I95" s="79"/>
      <c r="J95" s="79"/>
      <c r="K95" s="79"/>
      <c r="L95" s="79"/>
    </row>
    <row r="96">
      <c r="A96" s="134"/>
      <c r="B96" s="134"/>
      <c r="C96" s="134"/>
      <c r="D96" s="79"/>
      <c r="E96" s="79"/>
      <c r="F96" s="79"/>
      <c r="G96" s="79"/>
      <c r="H96" s="79"/>
      <c r="I96" s="79"/>
      <c r="J96" s="79"/>
      <c r="K96" s="79"/>
      <c r="L96" s="79"/>
    </row>
    <row r="97">
      <c r="A97" s="159" t="s">
        <v>159</v>
      </c>
      <c r="B97" s="150">
        <f>B89-B93</f>
        <v>33.137112</v>
      </c>
      <c r="C97" s="151"/>
      <c r="D97" s="79"/>
      <c r="E97" s="79"/>
      <c r="F97" s="79"/>
      <c r="G97" s="79"/>
      <c r="H97" s="79"/>
      <c r="I97" s="79"/>
      <c r="J97" s="79"/>
      <c r="K97" s="79"/>
      <c r="L97" s="79"/>
    </row>
    <row r="98">
      <c r="A98" s="79"/>
      <c r="B98" s="79"/>
      <c r="C98" s="79"/>
      <c r="D98" s="79"/>
      <c r="E98" s="79"/>
      <c r="F98" s="79"/>
      <c r="G98" s="79"/>
      <c r="H98" s="79"/>
      <c r="I98" s="79"/>
      <c r="J98" s="79"/>
      <c r="K98" s="79"/>
      <c r="L98" s="79"/>
    </row>
    <row r="99">
      <c r="A99" s="163"/>
      <c r="B99" s="134"/>
      <c r="C99" s="134"/>
      <c r="D99" s="134"/>
      <c r="E99" s="79"/>
      <c r="F99" s="79"/>
      <c r="G99" s="79"/>
      <c r="H99" s="79"/>
      <c r="I99" s="79"/>
      <c r="J99" s="79"/>
      <c r="K99" s="79"/>
      <c r="L99" s="79"/>
    </row>
    <row r="100">
      <c r="A100" s="161" t="s">
        <v>160</v>
      </c>
      <c r="B100" s="79"/>
      <c r="C100" s="79"/>
      <c r="D100" s="79"/>
      <c r="E100" s="79"/>
      <c r="F100" s="79"/>
      <c r="G100" s="79"/>
      <c r="H100" s="79"/>
      <c r="I100" s="79"/>
      <c r="J100" s="79"/>
      <c r="K100" s="79"/>
      <c r="L100" s="79"/>
    </row>
    <row r="101">
      <c r="A101" s="79"/>
      <c r="B101" s="79"/>
      <c r="C101" s="79"/>
      <c r="D101" s="79"/>
      <c r="E101" s="79"/>
      <c r="F101" s="79"/>
      <c r="G101" s="79"/>
      <c r="H101" s="79"/>
      <c r="I101" s="79"/>
      <c r="J101" s="79"/>
      <c r="K101" s="79"/>
      <c r="L101" s="79"/>
    </row>
    <row r="102">
      <c r="A102" s="146" t="s">
        <v>161</v>
      </c>
      <c r="B102" s="158" t="s">
        <v>162</v>
      </c>
      <c r="C102" s="79"/>
      <c r="D102" s="79"/>
      <c r="E102" s="79"/>
      <c r="F102" s="79"/>
      <c r="G102" s="79"/>
      <c r="H102" s="79"/>
      <c r="I102" s="79"/>
      <c r="J102" s="79"/>
      <c r="K102" s="79"/>
      <c r="L102" s="79"/>
    </row>
    <row r="103">
      <c r="A103" s="134"/>
      <c r="B103" s="134"/>
      <c r="C103" s="134"/>
      <c r="D103" s="79"/>
      <c r="E103" s="79"/>
      <c r="F103" s="79"/>
      <c r="G103" s="79"/>
      <c r="H103" s="79"/>
      <c r="I103" s="79"/>
      <c r="J103" s="79"/>
      <c r="K103" s="79"/>
      <c r="L103" s="79"/>
    </row>
    <row r="104">
      <c r="A104" s="159" t="s">
        <v>163</v>
      </c>
      <c r="B104" s="164">
        <f>B67+B80+B97</f>
        <v>72.71980643</v>
      </c>
      <c r="C104" s="165" t="s">
        <v>129</v>
      </c>
      <c r="D104" s="79"/>
      <c r="E104" s="79"/>
      <c r="F104" s="79"/>
      <c r="G104" s="79"/>
      <c r="H104" s="79"/>
      <c r="I104" s="79"/>
      <c r="J104" s="79"/>
      <c r="K104" s="79"/>
      <c r="L104" s="79"/>
    </row>
    <row r="105">
      <c r="A105" s="79"/>
      <c r="B105" s="79"/>
      <c r="C105" s="79"/>
      <c r="D105" s="79"/>
      <c r="E105" s="79"/>
      <c r="F105" s="79"/>
      <c r="G105" s="79"/>
      <c r="H105" s="79"/>
      <c r="I105" s="79"/>
      <c r="J105" s="79"/>
      <c r="K105" s="79"/>
      <c r="L105" s="79"/>
    </row>
    <row r="106">
      <c r="A106" s="134"/>
      <c r="B106" s="134"/>
      <c r="C106" s="134"/>
      <c r="D106" s="134"/>
      <c r="E106" s="79"/>
      <c r="F106" s="79"/>
      <c r="G106" s="79"/>
      <c r="H106" s="79"/>
      <c r="I106" s="79"/>
      <c r="J106" s="79"/>
      <c r="K106" s="79"/>
      <c r="L106" s="79"/>
    </row>
    <row r="107">
      <c r="A107" s="161" t="s">
        <v>164</v>
      </c>
      <c r="B107" s="79"/>
      <c r="C107" s="79"/>
      <c r="D107" s="79"/>
      <c r="E107" s="79"/>
      <c r="F107" s="79"/>
      <c r="G107" s="79"/>
      <c r="H107" s="79"/>
      <c r="I107" s="79"/>
      <c r="J107" s="79"/>
      <c r="K107" s="79"/>
      <c r="L107" s="79"/>
    </row>
    <row r="108">
      <c r="A108" s="88"/>
      <c r="B108" s="88"/>
      <c r="C108" s="88"/>
      <c r="D108" s="79"/>
      <c r="E108" s="79"/>
      <c r="F108" s="79"/>
      <c r="G108" s="79"/>
      <c r="H108" s="79"/>
      <c r="I108" s="79"/>
      <c r="J108" s="79"/>
      <c r="K108" s="79"/>
      <c r="L108" s="79"/>
    </row>
    <row r="109">
      <c r="A109" s="90" t="s">
        <v>165</v>
      </c>
      <c r="B109" s="166">
        <f>B23*B24*B25*B26</f>
        <v>2196070.24</v>
      </c>
      <c r="C109" s="144" t="s">
        <v>166</v>
      </c>
      <c r="D109" s="79"/>
      <c r="E109" s="79"/>
      <c r="F109" s="79"/>
      <c r="G109" s="79"/>
      <c r="H109" s="79"/>
      <c r="I109" s="79"/>
      <c r="J109" s="79"/>
      <c r="K109" s="79"/>
      <c r="L109" s="79"/>
    </row>
    <row r="110">
      <c r="A110" s="90" t="s">
        <v>167</v>
      </c>
      <c r="B110" s="166">
        <f>B23*B24*B27*B28</f>
        <v>2365798.4</v>
      </c>
      <c r="C110" s="144" t="s">
        <v>166</v>
      </c>
      <c r="D110" s="79"/>
      <c r="E110" s="79"/>
      <c r="F110" s="79"/>
      <c r="G110" s="79"/>
      <c r="H110" s="79"/>
      <c r="I110" s="79"/>
      <c r="J110" s="79"/>
      <c r="K110" s="79"/>
      <c r="L110" s="79"/>
    </row>
    <row r="111">
      <c r="A111" s="90" t="s">
        <v>168</v>
      </c>
      <c r="B111" s="166">
        <f>B110-B109</f>
        <v>169728.16</v>
      </c>
      <c r="C111" s="167" t="s">
        <v>166</v>
      </c>
      <c r="D111" s="79"/>
      <c r="E111" s="79"/>
      <c r="F111" s="79"/>
      <c r="G111" s="79"/>
      <c r="H111" s="79"/>
      <c r="I111" s="79"/>
      <c r="J111" s="79"/>
      <c r="K111" s="79"/>
      <c r="L111" s="79"/>
    </row>
    <row r="112">
      <c r="A112" s="168"/>
      <c r="B112" s="169">
        <v>1.0</v>
      </c>
      <c r="C112" s="170" t="s">
        <v>169</v>
      </c>
      <c r="D112" s="79"/>
      <c r="E112" s="79"/>
      <c r="F112" s="79"/>
      <c r="G112" s="79"/>
      <c r="H112" s="79"/>
      <c r="I112" s="79"/>
      <c r="J112" s="79"/>
      <c r="K112" s="79"/>
      <c r="L112" s="79"/>
    </row>
    <row r="113">
      <c r="A113" s="159" t="s">
        <v>170</v>
      </c>
      <c r="B113" s="171">
        <f>B111*(1/12000)*B18*B21*B112</f>
        <v>13.04942238</v>
      </c>
      <c r="C113" s="165" t="s">
        <v>129</v>
      </c>
      <c r="D113" s="79"/>
      <c r="E113" s="79"/>
      <c r="F113" s="79"/>
      <c r="G113" s="79"/>
      <c r="H113" s="79"/>
      <c r="I113" s="79"/>
      <c r="J113" s="79"/>
      <c r="K113" s="79"/>
      <c r="L113" s="79"/>
    </row>
    <row r="114">
      <c r="A114" s="172" t="s">
        <v>171</v>
      </c>
      <c r="D114" s="79"/>
      <c r="E114" s="79"/>
      <c r="F114" s="79"/>
      <c r="G114" s="79"/>
      <c r="H114" s="79"/>
      <c r="I114" s="79"/>
      <c r="J114" s="79"/>
      <c r="K114" s="79"/>
      <c r="L114" s="79"/>
    </row>
    <row r="115">
      <c r="A115" s="79"/>
      <c r="B115" s="79"/>
      <c r="C115" s="79"/>
      <c r="D115" s="79"/>
      <c r="E115" s="79"/>
      <c r="F115" s="79"/>
      <c r="G115" s="79"/>
      <c r="H115" s="79"/>
      <c r="I115" s="79"/>
      <c r="J115" s="79"/>
      <c r="K115" s="79"/>
      <c r="L115" s="79"/>
    </row>
    <row r="116">
      <c r="A116" s="173" t="s">
        <v>172</v>
      </c>
      <c r="B116" s="79"/>
      <c r="C116" s="79"/>
      <c r="D116" s="79"/>
      <c r="E116" s="79"/>
      <c r="F116" s="79"/>
      <c r="G116" s="79"/>
      <c r="H116" s="79"/>
      <c r="I116" s="79"/>
      <c r="J116" s="79"/>
      <c r="K116" s="79"/>
      <c r="L116" s="79"/>
    </row>
    <row r="117">
      <c r="A117" s="79"/>
      <c r="B117" s="79"/>
      <c r="C117" s="79"/>
      <c r="D117" s="79"/>
      <c r="E117" s="79"/>
      <c r="F117" s="79"/>
      <c r="G117" s="79"/>
      <c r="H117" s="79"/>
      <c r="I117" s="79"/>
      <c r="J117" s="79"/>
      <c r="K117" s="79"/>
      <c r="L117" s="79"/>
    </row>
    <row r="118">
      <c r="A118" s="163"/>
      <c r="B118" s="134"/>
      <c r="C118" s="134"/>
      <c r="D118" s="134"/>
      <c r="E118" s="79"/>
      <c r="F118" s="79"/>
      <c r="G118" s="79"/>
      <c r="H118" s="79"/>
      <c r="I118" s="79"/>
      <c r="J118" s="79"/>
      <c r="K118" s="79"/>
      <c r="L118" s="79"/>
    </row>
    <row r="119">
      <c r="A119" s="161" t="s">
        <v>173</v>
      </c>
      <c r="B119" s="79"/>
      <c r="C119" s="79"/>
      <c r="D119" s="79"/>
      <c r="E119" s="79"/>
      <c r="F119" s="79"/>
      <c r="G119" s="79"/>
      <c r="H119" s="79"/>
      <c r="I119" s="79"/>
      <c r="J119" s="79"/>
      <c r="K119" s="79"/>
      <c r="L119" s="79"/>
    </row>
    <row r="120">
      <c r="A120" s="79"/>
      <c r="B120" s="79"/>
      <c r="C120" s="79"/>
      <c r="D120" s="79"/>
      <c r="E120" s="79"/>
      <c r="F120" s="79"/>
      <c r="G120" s="79"/>
      <c r="H120" s="79"/>
      <c r="I120" s="79"/>
      <c r="J120" s="79"/>
      <c r="K120" s="79"/>
      <c r="L120" s="79"/>
    </row>
    <row r="121">
      <c r="A121" s="137" t="s">
        <v>174</v>
      </c>
      <c r="B121" s="157"/>
      <c r="C121" s="79"/>
      <c r="D121" s="79"/>
      <c r="E121" s="79"/>
      <c r="F121" s="79"/>
      <c r="G121" s="79"/>
      <c r="H121" s="79"/>
      <c r="I121" s="79"/>
      <c r="J121" s="79"/>
      <c r="K121" s="79"/>
      <c r="L121" s="79"/>
    </row>
    <row r="122">
      <c r="A122" s="134"/>
      <c r="B122" s="134"/>
      <c r="C122" s="134"/>
      <c r="D122" s="79"/>
      <c r="E122" s="79"/>
      <c r="F122" s="79"/>
      <c r="G122" s="79"/>
      <c r="H122" s="79"/>
      <c r="I122" s="79"/>
      <c r="J122" s="79"/>
      <c r="K122" s="79"/>
      <c r="L122" s="79"/>
    </row>
    <row r="123">
      <c r="A123" s="159" t="s">
        <v>175</v>
      </c>
      <c r="B123" s="164">
        <f>(B104*2+B113)/2</f>
        <v>79.24451762</v>
      </c>
      <c r="C123" s="165" t="s">
        <v>129</v>
      </c>
      <c r="D123" s="79"/>
      <c r="E123" s="79"/>
      <c r="F123" s="79"/>
      <c r="G123" s="79"/>
      <c r="H123" s="79"/>
      <c r="I123" s="79"/>
      <c r="J123" s="79"/>
      <c r="K123" s="79"/>
      <c r="L123" s="79"/>
    </row>
  </sheetData>
  <mergeCells count="9">
    <mergeCell ref="B74:C74"/>
    <mergeCell ref="A114:C114"/>
    <mergeCell ref="F12:L12"/>
    <mergeCell ref="F19:L19"/>
    <mergeCell ref="B44:C44"/>
    <mergeCell ref="B45:C45"/>
    <mergeCell ref="B56:C56"/>
    <mergeCell ref="B57:C57"/>
    <mergeCell ref="B73:C73"/>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44"/>
    <col customWidth="1" min="2" max="3" width="7.0"/>
    <col customWidth="1" min="4" max="9" width="10.0"/>
    <col customWidth="1" min="10" max="11" width="11.0"/>
    <col customWidth="1" min="12" max="13" width="12.11"/>
    <col customWidth="1" min="14" max="14" width="15.78"/>
    <col customWidth="1" min="15" max="15" width="11.0"/>
    <col customWidth="1" min="16" max="16" width="11.78"/>
    <col customWidth="1" min="17" max="26" width="11.0"/>
  </cols>
  <sheetData>
    <row r="1" ht="15.75" customHeight="1"/>
    <row r="2" ht="15.75" customHeight="1">
      <c r="A2" s="174" t="s">
        <v>176</v>
      </c>
      <c r="B2" s="175"/>
      <c r="C2" s="175"/>
      <c r="D2" s="175" t="s">
        <v>177</v>
      </c>
      <c r="E2" s="175"/>
      <c r="F2" s="175" t="s">
        <v>178</v>
      </c>
      <c r="G2" s="175"/>
      <c r="H2" s="176" t="s">
        <v>179</v>
      </c>
      <c r="I2" s="175"/>
      <c r="J2" s="177" t="s">
        <v>180</v>
      </c>
      <c r="K2" s="178"/>
      <c r="L2" s="175" t="s">
        <v>181</v>
      </c>
      <c r="M2" s="175"/>
      <c r="N2" s="179" t="s">
        <v>182</v>
      </c>
      <c r="P2" s="180" t="s">
        <v>19</v>
      </c>
      <c r="R2" s="180" t="s">
        <v>183</v>
      </c>
      <c r="T2" s="180" t="s">
        <v>17</v>
      </c>
    </row>
    <row r="3" ht="15.75" customHeight="1">
      <c r="P3" s="181"/>
      <c r="R3" s="181"/>
      <c r="T3" s="181"/>
    </row>
    <row r="4" ht="15.75" customHeight="1">
      <c r="A4" s="182" t="s">
        <v>16</v>
      </c>
      <c r="B4" s="183" t="s">
        <v>184</v>
      </c>
      <c r="C4" s="12"/>
      <c r="D4" s="184">
        <v>20.0</v>
      </c>
      <c r="F4" s="184" t="s">
        <v>24</v>
      </c>
      <c r="H4" s="184">
        <v>0.0</v>
      </c>
      <c r="J4" s="184">
        <v>2.0</v>
      </c>
      <c r="L4" s="184">
        <v>15.0</v>
      </c>
      <c r="N4" s="184" t="s">
        <v>185</v>
      </c>
      <c r="P4" s="185" t="s">
        <v>20</v>
      </c>
      <c r="R4" s="185" t="s">
        <v>24</v>
      </c>
      <c r="T4" s="185" t="s">
        <v>186</v>
      </c>
    </row>
    <row r="5" ht="15.75" customHeight="1">
      <c r="A5" s="186" t="s">
        <v>187</v>
      </c>
      <c r="B5" s="61" t="s">
        <v>188</v>
      </c>
      <c r="D5" s="187">
        <v>30.0</v>
      </c>
      <c r="F5" s="188" t="s">
        <v>189</v>
      </c>
      <c r="H5" s="188">
        <v>-2.0</v>
      </c>
      <c r="J5" s="187">
        <v>3.0</v>
      </c>
      <c r="L5" s="187">
        <v>20.0</v>
      </c>
      <c r="N5" s="188" t="s">
        <v>181</v>
      </c>
      <c r="P5" s="189"/>
      <c r="R5" s="189" t="s">
        <v>189</v>
      </c>
      <c r="T5" s="189" t="s">
        <v>18</v>
      </c>
    </row>
    <row r="6" ht="15.75" customHeight="1">
      <c r="B6" s="12"/>
      <c r="C6" s="12"/>
      <c r="D6" s="188">
        <v>40.0</v>
      </c>
      <c r="J6" s="187">
        <v>4.0</v>
      </c>
      <c r="L6" s="188">
        <v>30.0</v>
      </c>
    </row>
    <row r="7" ht="15.75" customHeight="1">
      <c r="A7" s="12"/>
      <c r="B7" s="12"/>
      <c r="C7" s="12"/>
      <c r="J7" s="190">
        <v>5.0</v>
      </c>
    </row>
    <row r="8" ht="15.75" customHeight="1">
      <c r="B8" s="12"/>
      <c r="C8" s="12"/>
      <c r="J8" s="191">
        <v>6.0</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0"/>
    <col customWidth="1" min="2" max="2" width="18.67"/>
    <col customWidth="1" min="3" max="3" width="14.11"/>
    <col customWidth="1" min="4" max="4" width="25.0"/>
    <col customWidth="1" min="5" max="5" width="14.0"/>
    <col customWidth="1" min="6" max="6" width="17.0"/>
    <col customWidth="1" min="7" max="7" width="14.0"/>
    <col customWidth="1" min="8" max="8" width="17.0"/>
    <col customWidth="1" min="9" max="9" width="15.0"/>
    <col customWidth="1" min="10" max="10" width="17.0"/>
    <col customWidth="1" min="11" max="16" width="20.56"/>
  </cols>
  <sheetData>
    <row r="1" ht="15.75" customHeight="1">
      <c r="B1" s="192" t="s">
        <v>190</v>
      </c>
      <c r="C1" s="193"/>
      <c r="D1" s="193"/>
      <c r="E1" s="193"/>
      <c r="F1" s="193"/>
      <c r="G1" s="193"/>
      <c r="H1" s="193"/>
      <c r="I1" s="193"/>
      <c r="J1" s="193"/>
    </row>
    <row r="2" ht="15.75" customHeight="1">
      <c r="B2" s="194" t="s">
        <v>191</v>
      </c>
      <c r="C2" s="194" t="s">
        <v>192</v>
      </c>
      <c r="D2" s="194"/>
      <c r="E2" s="194" t="s">
        <v>193</v>
      </c>
      <c r="F2" s="194"/>
      <c r="G2" s="195" t="s">
        <v>194</v>
      </c>
      <c r="H2" s="193"/>
      <c r="I2" s="194" t="s">
        <v>195</v>
      </c>
      <c r="J2" s="194"/>
      <c r="K2" s="194" t="s">
        <v>193</v>
      </c>
      <c r="L2" s="194"/>
      <c r="M2" s="195" t="s">
        <v>194</v>
      </c>
      <c r="N2" s="193"/>
      <c r="O2" s="194" t="s">
        <v>195</v>
      </c>
      <c r="P2" s="194"/>
    </row>
    <row r="3" ht="15.75" customHeight="1">
      <c r="A3" s="196" t="s">
        <v>196</v>
      </c>
      <c r="B3" s="197" t="s">
        <v>197</v>
      </c>
      <c r="C3" s="198" t="s">
        <v>198</v>
      </c>
      <c r="D3" s="196" t="s">
        <v>199</v>
      </c>
      <c r="E3" s="196" t="s">
        <v>200</v>
      </c>
      <c r="F3" s="196" t="s">
        <v>201</v>
      </c>
      <c r="G3" s="196" t="s">
        <v>200</v>
      </c>
      <c r="H3" s="196" t="s">
        <v>201</v>
      </c>
      <c r="I3" s="196" t="s">
        <v>200</v>
      </c>
      <c r="J3" s="196" t="s">
        <v>201</v>
      </c>
      <c r="K3" s="196" t="s">
        <v>200</v>
      </c>
      <c r="L3" s="196" t="s">
        <v>201</v>
      </c>
      <c r="M3" s="196" t="s">
        <v>200</v>
      </c>
      <c r="N3" s="196" t="s">
        <v>201</v>
      </c>
      <c r="O3" s="196" t="s">
        <v>200</v>
      </c>
      <c r="P3" s="196" t="s">
        <v>201</v>
      </c>
    </row>
    <row r="4" ht="15.75" customHeight="1">
      <c r="A4" s="196" t="str">
        <f t="shared" ref="A4:A43" si="1">$C$2&amp;$B$2&amp; B4&amp; C4&amp;D4</f>
        <v>MASmallOffice021</v>
      </c>
      <c r="B4" s="196">
        <v>0.0</v>
      </c>
      <c r="C4" s="196">
        <v>2.0</v>
      </c>
      <c r="D4" s="196">
        <v>1.0</v>
      </c>
      <c r="E4" s="199">
        <v>0.288211225155801</v>
      </c>
      <c r="F4" s="199">
        <v>-10.7928201082286</v>
      </c>
      <c r="G4" s="199">
        <v>-0.100259987801962</v>
      </c>
      <c r="H4" s="199">
        <v>17.7536876145665</v>
      </c>
      <c r="I4" s="200">
        <v>0.0</v>
      </c>
      <c r="J4" s="200">
        <v>0.0</v>
      </c>
      <c r="K4" s="199">
        <v>0.0105693968942952</v>
      </c>
      <c r="L4" s="199">
        <v>-0.484218702741184</v>
      </c>
      <c r="M4" s="199">
        <v>0.00140508391802716</v>
      </c>
      <c r="N4" s="199">
        <v>0.189112778917319</v>
      </c>
      <c r="O4" s="200">
        <v>0.0</v>
      </c>
      <c r="P4" s="200">
        <v>0.0</v>
      </c>
    </row>
    <row r="5" ht="15.75" customHeight="1">
      <c r="A5" s="196" t="str">
        <f t="shared" si="1"/>
        <v>MASmallOffice022</v>
      </c>
      <c r="B5" s="196">
        <v>0.0</v>
      </c>
      <c r="C5" s="196">
        <v>2.0</v>
      </c>
      <c r="D5" s="196">
        <v>2.0</v>
      </c>
      <c r="E5" s="199">
        <v>0.184618312197144</v>
      </c>
      <c r="F5" s="199">
        <v>-5.58303992025685</v>
      </c>
      <c r="G5" s="199">
        <v>-0.0493401537862158</v>
      </c>
      <c r="H5" s="199">
        <v>11.1258071533023</v>
      </c>
      <c r="I5" s="200">
        <v>0.0</v>
      </c>
      <c r="J5" s="200">
        <v>0.0</v>
      </c>
      <c r="K5" s="199">
        <v>0.00740813779174031</v>
      </c>
      <c r="L5" s="199">
        <v>-0.31789757830319</v>
      </c>
      <c r="M5" s="199">
        <v>0.00193428651102566</v>
      </c>
      <c r="N5" s="199">
        <v>0.0679769624851451</v>
      </c>
      <c r="O5" s="200">
        <v>0.0</v>
      </c>
      <c r="P5" s="200">
        <v>0.0</v>
      </c>
    </row>
    <row r="6" ht="15.75" customHeight="1">
      <c r="A6" s="196" t="str">
        <f t="shared" si="1"/>
        <v>MASmallOffice023</v>
      </c>
      <c r="B6" s="196">
        <v>0.0</v>
      </c>
      <c r="C6" s="196">
        <v>2.0</v>
      </c>
      <c r="D6" s="196">
        <v>3.0</v>
      </c>
      <c r="E6" s="199">
        <v>0.150285360901266</v>
      </c>
      <c r="F6" s="199">
        <v>-3.98330615921392</v>
      </c>
      <c r="G6" s="199">
        <v>-0.0685142301209672</v>
      </c>
      <c r="H6" s="199">
        <v>11.8085132023155</v>
      </c>
      <c r="I6" s="200">
        <v>0.0</v>
      </c>
      <c r="J6" s="200">
        <v>0.0</v>
      </c>
      <c r="K6" s="199">
        <v>0.00623886157514348</v>
      </c>
      <c r="L6" s="199">
        <v>-0.25760567558524</v>
      </c>
      <c r="M6" s="199">
        <v>0.00125021904792242</v>
      </c>
      <c r="N6" s="199">
        <v>0.096342548468838</v>
      </c>
      <c r="O6" s="200">
        <v>0.0</v>
      </c>
      <c r="P6" s="200">
        <v>0.0</v>
      </c>
    </row>
    <row r="7" ht="15.75" customHeight="1">
      <c r="A7" s="196" t="str">
        <f t="shared" si="1"/>
        <v>MASmallOffice024</v>
      </c>
      <c r="B7" s="196">
        <v>0.0</v>
      </c>
      <c r="C7" s="196">
        <v>2.0</v>
      </c>
      <c r="D7" s="196">
        <v>4.0</v>
      </c>
      <c r="E7" s="199">
        <v>0.347968110587628</v>
      </c>
      <c r="F7" s="199">
        <v>-16.3564833505582</v>
      </c>
      <c r="G7" s="199">
        <v>-0.124068000967793</v>
      </c>
      <c r="H7" s="199">
        <v>17.5674489350298</v>
      </c>
      <c r="I7" s="200">
        <v>0.0</v>
      </c>
      <c r="J7" s="200">
        <v>0.0</v>
      </c>
      <c r="K7" s="199">
        <v>0.00879235793656165</v>
      </c>
      <c r="L7" s="199">
        <v>-0.446537302578572</v>
      </c>
      <c r="M7" s="199">
        <v>0.00146865680829042</v>
      </c>
      <c r="N7" s="199">
        <v>0.0738736139186018</v>
      </c>
      <c r="O7" s="200">
        <v>0.0</v>
      </c>
      <c r="P7" s="200">
        <v>0.0</v>
      </c>
    </row>
    <row r="8" ht="15.75" customHeight="1">
      <c r="A8" s="196" t="str">
        <f t="shared" si="1"/>
        <v>MASmallOffice031</v>
      </c>
      <c r="B8" s="196">
        <v>0.0</v>
      </c>
      <c r="C8" s="196">
        <v>3.0</v>
      </c>
      <c r="D8" s="196">
        <v>1.0</v>
      </c>
      <c r="E8" s="199">
        <v>0.549490401487565</v>
      </c>
      <c r="F8" s="199">
        <v>-24.4313303181986</v>
      </c>
      <c r="G8" s="199">
        <v>-0.125718872733043</v>
      </c>
      <c r="H8" s="199">
        <v>24.312253965751</v>
      </c>
      <c r="I8" s="200">
        <v>0.0</v>
      </c>
      <c r="J8" s="200">
        <v>0.0</v>
      </c>
      <c r="K8" s="199">
        <v>0.0184331413241635</v>
      </c>
      <c r="L8" s="199">
        <v>-0.907620500209991</v>
      </c>
      <c r="M8" s="199">
        <v>0.00270142125241141</v>
      </c>
      <c r="N8" s="199">
        <v>0.225771736548589</v>
      </c>
      <c r="O8" s="200">
        <v>0.0</v>
      </c>
      <c r="P8" s="200">
        <v>0.0</v>
      </c>
    </row>
    <row r="9" ht="15.75" customHeight="1">
      <c r="A9" s="196" t="str">
        <f t="shared" si="1"/>
        <v>MASmallOffice032</v>
      </c>
      <c r="B9" s="196">
        <v>0.0</v>
      </c>
      <c r="C9" s="196">
        <v>3.0</v>
      </c>
      <c r="D9" s="196">
        <v>2.0</v>
      </c>
      <c r="E9" s="199">
        <v>0.339569296852439</v>
      </c>
      <c r="F9" s="199">
        <v>-12.9463431917664</v>
      </c>
      <c r="G9" s="199">
        <v>-0.0531187912718892</v>
      </c>
      <c r="H9" s="199">
        <v>14.972655377358</v>
      </c>
      <c r="I9" s="200">
        <v>0.0</v>
      </c>
      <c r="J9" s="200">
        <v>0.0</v>
      </c>
      <c r="K9" s="199">
        <v>0.0124248210916607</v>
      </c>
      <c r="L9" s="199">
        <v>-0.573381836327948</v>
      </c>
      <c r="M9" s="199">
        <v>0.00348895875605193</v>
      </c>
      <c r="N9" s="199">
        <v>0.0539476658513708</v>
      </c>
      <c r="O9" s="200">
        <v>0.0</v>
      </c>
      <c r="P9" s="200">
        <v>0.0</v>
      </c>
    </row>
    <row r="10" ht="15.75" customHeight="1">
      <c r="A10" s="196" t="str">
        <f t="shared" si="1"/>
        <v>MASmallOffice033</v>
      </c>
      <c r="B10" s="196">
        <v>0.0</v>
      </c>
      <c r="C10" s="196">
        <v>3.0</v>
      </c>
      <c r="D10" s="196">
        <v>3.0</v>
      </c>
      <c r="E10" s="199">
        <v>0.269435069259062</v>
      </c>
      <c r="F10" s="199">
        <v>-9.1657656471425</v>
      </c>
      <c r="G10" s="199">
        <v>-0.0944218875492123</v>
      </c>
      <c r="H10" s="199">
        <v>17.0497121845198</v>
      </c>
      <c r="I10" s="200">
        <v>0.0</v>
      </c>
      <c r="J10" s="200">
        <v>0.0</v>
      </c>
      <c r="K10" s="199">
        <v>0.0103119077535423</v>
      </c>
      <c r="L10" s="199">
        <v>-0.455631680179283</v>
      </c>
      <c r="M10" s="199">
        <v>0.00208738347619316</v>
      </c>
      <c r="N10" s="199">
        <v>0.127909110461381</v>
      </c>
      <c r="O10" s="200">
        <v>0.0</v>
      </c>
      <c r="P10" s="200">
        <v>0.0</v>
      </c>
    </row>
    <row r="11" ht="15.75" customHeight="1">
      <c r="A11" s="196" t="str">
        <f t="shared" si="1"/>
        <v>MASmallOffice034</v>
      </c>
      <c r="B11" s="196">
        <v>0.0</v>
      </c>
      <c r="C11" s="196">
        <v>3.0</v>
      </c>
      <c r="D11" s="196">
        <v>4.0</v>
      </c>
      <c r="E11" s="199">
        <v>0.557414779374719</v>
      </c>
      <c r="F11" s="199">
        <v>-27.3170779270762</v>
      </c>
      <c r="G11" s="199">
        <v>-0.192191910668314</v>
      </c>
      <c r="H11" s="199">
        <v>26.8313691150552</v>
      </c>
      <c r="I11" s="200">
        <v>0.0</v>
      </c>
      <c r="J11" s="200">
        <v>0.0</v>
      </c>
      <c r="K11" s="199">
        <v>0.0137620267264323</v>
      </c>
      <c r="L11" s="199">
        <v>-0.715350784565751</v>
      </c>
      <c r="M11" s="199">
        <v>0.00207066820853674</v>
      </c>
      <c r="N11" s="199">
        <v>0.121199871021056</v>
      </c>
      <c r="O11" s="200">
        <v>0.0</v>
      </c>
      <c r="P11" s="200">
        <v>0.0</v>
      </c>
    </row>
    <row r="12" ht="15.75" customHeight="1">
      <c r="A12" s="196" t="str">
        <f t="shared" si="1"/>
        <v>MASmallOffice041</v>
      </c>
      <c r="B12" s="196">
        <v>0.0</v>
      </c>
      <c r="C12" s="196">
        <v>4.0</v>
      </c>
      <c r="D12" s="196">
        <v>1.0</v>
      </c>
      <c r="E12" s="199">
        <v>0.839023314754526</v>
      </c>
      <c r="F12" s="199">
        <v>-40.6621600061862</v>
      </c>
      <c r="G12" s="199">
        <v>-0.0123793004195245</v>
      </c>
      <c r="H12" s="199">
        <v>20.0738361837724</v>
      </c>
      <c r="I12" s="200">
        <v>0.0</v>
      </c>
      <c r="J12" s="200">
        <v>0.0</v>
      </c>
      <c r="K12" s="199">
        <v>0.0268784712347171</v>
      </c>
      <c r="L12" s="199">
        <v>-1.38720163257565</v>
      </c>
      <c r="M12" s="199">
        <v>0.00843511799681766</v>
      </c>
      <c r="N12" s="199">
        <v>-0.0817081835074676</v>
      </c>
      <c r="O12" s="200">
        <v>0.0</v>
      </c>
      <c r="P12" s="200">
        <v>0.0</v>
      </c>
    </row>
    <row r="13" ht="15.75" customHeight="1">
      <c r="A13" s="196" t="str">
        <f t="shared" si="1"/>
        <v>MASmallOffice042</v>
      </c>
      <c r="B13" s="196">
        <v>0.0</v>
      </c>
      <c r="C13" s="196">
        <v>4.0</v>
      </c>
      <c r="D13" s="196">
        <v>2.0</v>
      </c>
      <c r="E13" s="199">
        <v>0.528407862301686</v>
      </c>
      <c r="F13" s="199">
        <v>-22.9310130691128</v>
      </c>
      <c r="G13" s="199">
        <v>-0.0406911441924861</v>
      </c>
      <c r="H13" s="199">
        <v>17.4457000405803</v>
      </c>
      <c r="I13" s="200">
        <v>0.0</v>
      </c>
      <c r="J13" s="200">
        <v>0.0</v>
      </c>
      <c r="K13" s="199">
        <v>0.0181407172668931</v>
      </c>
      <c r="L13" s="199">
        <v>-0.884099073729768</v>
      </c>
      <c r="M13" s="199">
        <v>0.00546875104384174</v>
      </c>
      <c r="N13" s="199">
        <v>0.00370409408571715</v>
      </c>
      <c r="O13" s="200">
        <v>0.0</v>
      </c>
      <c r="P13" s="200">
        <v>0.0</v>
      </c>
    </row>
    <row r="14" ht="15.75" customHeight="1">
      <c r="A14" s="196" t="str">
        <f t="shared" si="1"/>
        <v>MASmallOffice043</v>
      </c>
      <c r="B14" s="196">
        <v>0.0</v>
      </c>
      <c r="C14" s="196">
        <v>4.0</v>
      </c>
      <c r="D14" s="196">
        <v>3.0</v>
      </c>
      <c r="E14" s="199">
        <v>0.431552494576907</v>
      </c>
      <c r="F14" s="199">
        <v>-17.4988559609404</v>
      </c>
      <c r="G14" s="199">
        <v>-0.106937494118205</v>
      </c>
      <c r="H14" s="199">
        <v>21.1843135641113</v>
      </c>
      <c r="I14" s="200">
        <v>0.0</v>
      </c>
      <c r="J14" s="200">
        <v>0.0</v>
      </c>
      <c r="K14" s="199">
        <v>0.0153187521346883</v>
      </c>
      <c r="L14" s="199">
        <v>-0.7224941361747</v>
      </c>
      <c r="M14" s="199">
        <v>0.00326561387507441</v>
      </c>
      <c r="N14" s="199">
        <v>0.131278656532069</v>
      </c>
      <c r="O14" s="200">
        <v>0.0</v>
      </c>
      <c r="P14" s="200">
        <v>0.0</v>
      </c>
    </row>
    <row r="15" ht="15.75" customHeight="1">
      <c r="A15" s="196" t="str">
        <f t="shared" si="1"/>
        <v>MASmallOffice044</v>
      </c>
      <c r="B15" s="196">
        <v>0.0</v>
      </c>
      <c r="C15" s="196">
        <v>4.0</v>
      </c>
      <c r="D15" s="196">
        <v>4.0</v>
      </c>
      <c r="E15" s="199">
        <v>0.775633745416634</v>
      </c>
      <c r="F15" s="199">
        <v>-39.1765228281206</v>
      </c>
      <c r="G15" s="199">
        <v>-0.242711923080728</v>
      </c>
      <c r="H15" s="199">
        <v>34.6153600692166</v>
      </c>
      <c r="I15" s="200">
        <v>0.0</v>
      </c>
      <c r="J15" s="200">
        <v>0.0</v>
      </c>
      <c r="K15" s="199">
        <v>0.0188370836120087</v>
      </c>
      <c r="L15" s="199">
        <v>-0.996948646779141</v>
      </c>
      <c r="M15" s="199">
        <v>0.00298588297997217</v>
      </c>
      <c r="N15" s="199">
        <v>0.141993973350409</v>
      </c>
      <c r="O15" s="200">
        <v>0.0</v>
      </c>
      <c r="P15" s="200">
        <v>0.0</v>
      </c>
    </row>
    <row r="16" ht="15.75" customHeight="1">
      <c r="A16" s="196" t="str">
        <f t="shared" si="1"/>
        <v>MASmallOffice051</v>
      </c>
      <c r="B16" s="196">
        <v>0.0</v>
      </c>
      <c r="C16" s="196">
        <v>5.0</v>
      </c>
      <c r="D16" s="196">
        <v>1.0</v>
      </c>
      <c r="E16" s="199">
        <v>1.08530875883405</v>
      </c>
      <c r="F16" s="199">
        <v>-54.8014299658148</v>
      </c>
      <c r="G16" s="199">
        <v>0.056623013532192</v>
      </c>
      <c r="H16" s="199">
        <v>18.4955361646256</v>
      </c>
      <c r="I16" s="200">
        <v>0.0</v>
      </c>
      <c r="J16" s="200">
        <v>0.0</v>
      </c>
      <c r="K16" s="199">
        <v>0.0340237307693481</v>
      </c>
      <c r="L16" s="199">
        <v>-1.80075146444363</v>
      </c>
      <c r="M16" s="199">
        <v>0.0123821571725368</v>
      </c>
      <c r="N16" s="199">
        <v>-0.273661861809971</v>
      </c>
      <c r="O16" s="200">
        <v>0.0</v>
      </c>
      <c r="P16" s="200">
        <v>0.0</v>
      </c>
    </row>
    <row r="17" ht="15.75" customHeight="1">
      <c r="A17" s="196" t="str">
        <f t="shared" si="1"/>
        <v>MASmallOffice052</v>
      </c>
      <c r="B17" s="196">
        <v>0.0</v>
      </c>
      <c r="C17" s="196">
        <v>5.0</v>
      </c>
      <c r="D17" s="196">
        <v>2.0</v>
      </c>
      <c r="E17" s="199">
        <v>0.716109091106318</v>
      </c>
      <c r="F17" s="199">
        <v>-33.0797883404444</v>
      </c>
      <c r="G17" s="199">
        <v>-0.0240500026555023</v>
      </c>
      <c r="H17" s="199">
        <v>19.3600854003763</v>
      </c>
      <c r="I17" s="200">
        <v>0.0</v>
      </c>
      <c r="J17" s="200">
        <v>0.0</v>
      </c>
      <c r="K17" s="199">
        <v>0.0237201838825799</v>
      </c>
      <c r="L17" s="199">
        <v>-1.19188422556276</v>
      </c>
      <c r="M17" s="199">
        <v>0.00746683130903293</v>
      </c>
      <c r="N17" s="199">
        <v>-0.0546997543833909</v>
      </c>
      <c r="O17" s="200">
        <v>0.0</v>
      </c>
      <c r="P17" s="200">
        <v>0.0</v>
      </c>
    </row>
    <row r="18" ht="15.75" customHeight="1">
      <c r="A18" s="196" t="str">
        <f t="shared" si="1"/>
        <v>MASmallOffice053</v>
      </c>
      <c r="B18" s="196">
        <v>0.0</v>
      </c>
      <c r="C18" s="196">
        <v>5.0</v>
      </c>
      <c r="D18" s="196">
        <v>3.0</v>
      </c>
      <c r="E18" s="199">
        <v>0.607939310669331</v>
      </c>
      <c r="F18" s="199">
        <v>-26.93918478535</v>
      </c>
      <c r="G18" s="199">
        <v>-0.108607896835696</v>
      </c>
      <c r="H18" s="199">
        <v>24.3555538238803</v>
      </c>
      <c r="I18" s="200">
        <v>0.0</v>
      </c>
      <c r="J18" s="200">
        <v>0.0</v>
      </c>
      <c r="K18" s="199">
        <v>0.0205882780924317</v>
      </c>
      <c r="L18" s="199">
        <v>-1.01071601479449</v>
      </c>
      <c r="M18" s="199">
        <v>0.00467050617548456</v>
      </c>
      <c r="N18" s="199">
        <v>0.113749297064217</v>
      </c>
      <c r="O18" s="200">
        <v>0.0</v>
      </c>
      <c r="P18" s="200">
        <v>0.0</v>
      </c>
    </row>
    <row r="19" ht="15.75" customHeight="1">
      <c r="A19" s="196" t="str">
        <f t="shared" si="1"/>
        <v>MASmallOffice054</v>
      </c>
      <c r="B19" s="196">
        <v>0.0</v>
      </c>
      <c r="C19" s="196">
        <v>5.0</v>
      </c>
      <c r="D19" s="196">
        <v>4.0</v>
      </c>
      <c r="E19" s="199">
        <v>0.997989946039895</v>
      </c>
      <c r="F19" s="199">
        <v>-51.7172741605395</v>
      </c>
      <c r="G19" s="199">
        <v>-0.264463093473954</v>
      </c>
      <c r="H19" s="199">
        <v>39.9610621613903</v>
      </c>
      <c r="I19" s="200">
        <v>0.0</v>
      </c>
      <c r="J19" s="200">
        <v>0.0</v>
      </c>
      <c r="K19" s="199">
        <v>0.0238891620943591</v>
      </c>
      <c r="L19" s="199">
        <v>-1.28460389771014</v>
      </c>
      <c r="M19" s="199">
        <v>0.00440039458739364</v>
      </c>
      <c r="N19" s="199">
        <v>0.119889067194652</v>
      </c>
      <c r="O19" s="200">
        <v>0.0</v>
      </c>
      <c r="P19" s="200">
        <v>0.0</v>
      </c>
    </row>
    <row r="20" ht="15.75" customHeight="1">
      <c r="A20" s="196" t="str">
        <f t="shared" si="1"/>
        <v>MASmallOffice061</v>
      </c>
      <c r="B20" s="196">
        <v>0.0</v>
      </c>
      <c r="C20" s="196">
        <v>6.0</v>
      </c>
      <c r="D20" s="196">
        <v>1.0</v>
      </c>
      <c r="E20" s="199">
        <v>1.29349663428141</v>
      </c>
      <c r="F20" s="199">
        <v>-67.1179207481145</v>
      </c>
      <c r="G20" s="199">
        <v>0.125067372665252</v>
      </c>
      <c r="H20" s="199">
        <v>16.5230629110787</v>
      </c>
      <c r="I20" s="200">
        <v>0.0</v>
      </c>
      <c r="J20" s="200">
        <v>0.0</v>
      </c>
      <c r="K20" s="199">
        <v>0.0400112459977088</v>
      </c>
      <c r="L20" s="199">
        <v>-2.15597091296177</v>
      </c>
      <c r="M20" s="199">
        <v>0.0161250056543879</v>
      </c>
      <c r="N20" s="199">
        <v>-0.462752269494565</v>
      </c>
      <c r="O20" s="200">
        <v>0.0</v>
      </c>
      <c r="P20" s="200">
        <v>0.0</v>
      </c>
    </row>
    <row r="21" ht="15.75" customHeight="1">
      <c r="A21" s="196" t="str">
        <f t="shared" si="1"/>
        <v>MASmallOffice062</v>
      </c>
      <c r="B21" s="196">
        <v>0.0</v>
      </c>
      <c r="C21" s="196">
        <v>6.0</v>
      </c>
      <c r="D21" s="196">
        <v>2.0</v>
      </c>
      <c r="E21" s="199">
        <v>0.927460307377187</v>
      </c>
      <c r="F21" s="199">
        <v>-45.1268212450739</v>
      </c>
      <c r="G21" s="199">
        <v>-0.0175560973632093</v>
      </c>
      <c r="H21" s="199">
        <v>21.8153611825929</v>
      </c>
      <c r="I21" s="200">
        <v>0.0</v>
      </c>
      <c r="J21" s="200">
        <v>0.0</v>
      </c>
      <c r="K21" s="199">
        <v>0.0298235860682993</v>
      </c>
      <c r="L21" s="199">
        <v>-1.54244503440686</v>
      </c>
      <c r="M21" s="199">
        <v>0.00904035767873009</v>
      </c>
      <c r="N21" s="199">
        <v>-0.0873606252827286</v>
      </c>
      <c r="O21" s="200">
        <v>0.0</v>
      </c>
      <c r="P21" s="200">
        <v>0.0</v>
      </c>
    </row>
    <row r="22" ht="15.75" customHeight="1">
      <c r="A22" s="196" t="str">
        <f t="shared" si="1"/>
        <v>MASmallOffice063</v>
      </c>
      <c r="B22" s="196">
        <v>0.0</v>
      </c>
      <c r="C22" s="196">
        <v>6.0</v>
      </c>
      <c r="D22" s="196">
        <v>3.0</v>
      </c>
      <c r="E22" s="199">
        <v>0.790744233116769</v>
      </c>
      <c r="F22" s="199">
        <v>-37.0871378733497</v>
      </c>
      <c r="G22" s="199">
        <v>-0.105386754171299</v>
      </c>
      <c r="H22" s="199">
        <v>26.985345625392</v>
      </c>
      <c r="I22" s="200">
        <v>0.0</v>
      </c>
      <c r="J22" s="200">
        <v>0.0</v>
      </c>
      <c r="K22" s="199">
        <v>0.0259476072089385</v>
      </c>
      <c r="L22" s="199">
        <v>-1.31189499469278</v>
      </c>
      <c r="M22" s="199">
        <v>0.00612200603686779</v>
      </c>
      <c r="N22" s="199">
        <v>0.0880323252706343</v>
      </c>
      <c r="O22" s="200">
        <v>0.0</v>
      </c>
      <c r="P22" s="200">
        <v>0.0</v>
      </c>
    </row>
    <row r="23" ht="15.75" customHeight="1">
      <c r="A23" s="196" t="str">
        <f t="shared" si="1"/>
        <v>MASmallOffice064</v>
      </c>
      <c r="B23" s="196">
        <v>0.0</v>
      </c>
      <c r="C23" s="196">
        <v>6.0</v>
      </c>
      <c r="D23" s="196">
        <v>4.0</v>
      </c>
      <c r="E23" s="199">
        <v>1.20471350278458</v>
      </c>
      <c r="F23" s="199">
        <v>-63.6193491731736</v>
      </c>
      <c r="G23" s="199">
        <v>-0.262648855582595</v>
      </c>
      <c r="H23" s="199">
        <v>43.23543218325</v>
      </c>
      <c r="I23" s="200">
        <v>0.0</v>
      </c>
      <c r="J23" s="200">
        <v>0.0</v>
      </c>
      <c r="K23" s="199">
        <v>0.0285776102182313</v>
      </c>
      <c r="L23" s="199">
        <v>-1.55597901686783</v>
      </c>
      <c r="M23" s="199">
        <v>0.0061874470958347</v>
      </c>
      <c r="N23" s="199">
        <v>0.0637329379886019</v>
      </c>
      <c r="O23" s="200">
        <v>0.0</v>
      </c>
      <c r="P23" s="200">
        <v>0.0</v>
      </c>
    </row>
    <row r="24" ht="15.75" customHeight="1">
      <c r="A24" s="196" t="str">
        <f t="shared" si="1"/>
        <v>MASmallOffice-221</v>
      </c>
      <c r="B24" s="196">
        <v>-2.0</v>
      </c>
      <c r="C24" s="196">
        <v>2.0</v>
      </c>
      <c r="D24" s="196">
        <v>1.0</v>
      </c>
      <c r="E24" s="199">
        <v>0.60696551590486</v>
      </c>
      <c r="F24" s="199">
        <v>-27.8782769904257</v>
      </c>
      <c r="G24" s="199">
        <v>-0.278790667000496</v>
      </c>
      <c r="H24" s="199">
        <v>36.4632166825116</v>
      </c>
      <c r="I24" s="200">
        <v>0.0</v>
      </c>
      <c r="J24" s="200">
        <v>0.0</v>
      </c>
      <c r="K24" s="199">
        <v>0.0200481254240122</v>
      </c>
      <c r="L24" s="199">
        <v>-1.00446439310535</v>
      </c>
      <c r="M24" s="199">
        <v>-0.00244043039734325</v>
      </c>
      <c r="N24" s="199">
        <v>0.632702780349026</v>
      </c>
      <c r="O24" s="200">
        <v>0.0</v>
      </c>
      <c r="P24" s="200">
        <v>0.0</v>
      </c>
    </row>
    <row r="25" ht="15.75" customHeight="1">
      <c r="A25" s="196" t="str">
        <f t="shared" si="1"/>
        <v>MASmallOffice-222</v>
      </c>
      <c r="B25" s="196">
        <v>-2.0</v>
      </c>
      <c r="C25" s="196">
        <v>2.0</v>
      </c>
      <c r="D25" s="196">
        <v>2.0</v>
      </c>
      <c r="E25" s="199">
        <v>0.313521301982583</v>
      </c>
      <c r="F25" s="199">
        <v>-11.9805043695965</v>
      </c>
      <c r="G25" s="199">
        <v>-0.102097745905892</v>
      </c>
      <c r="H25" s="199">
        <v>17.7232494953183</v>
      </c>
      <c r="I25" s="200">
        <v>0.0</v>
      </c>
      <c r="J25" s="200">
        <v>0.0</v>
      </c>
      <c r="K25" s="199">
        <v>0.0114791988900941</v>
      </c>
      <c r="L25" s="199">
        <v>-0.530467793541309</v>
      </c>
      <c r="M25" s="199">
        <v>0.00130069474237487</v>
      </c>
      <c r="N25" s="199">
        <v>0.192184817987051</v>
      </c>
      <c r="O25" s="200">
        <v>0.0</v>
      </c>
      <c r="P25" s="200">
        <v>0.0</v>
      </c>
    </row>
    <row r="26" ht="15.75" customHeight="1">
      <c r="A26" s="196" t="str">
        <f t="shared" si="1"/>
        <v>MASmallOffice-223</v>
      </c>
      <c r="B26" s="196">
        <v>-2.0</v>
      </c>
      <c r="C26" s="196">
        <v>2.0</v>
      </c>
      <c r="D26" s="196">
        <v>3.0</v>
      </c>
      <c r="E26" s="199">
        <v>0.234689789941493</v>
      </c>
      <c r="F26" s="199">
        <v>-7.88116471004449</v>
      </c>
      <c r="G26" s="199">
        <v>-0.117182541564811</v>
      </c>
      <c r="H26" s="199">
        <v>17.5059661532538</v>
      </c>
      <c r="I26" s="200">
        <v>0.0</v>
      </c>
      <c r="J26" s="200">
        <v>0.0</v>
      </c>
      <c r="K26" s="199">
        <v>0.00900594897657972</v>
      </c>
      <c r="L26" s="199">
        <v>-0.395832197227338</v>
      </c>
      <c r="M26" s="199">
        <v>5.75366308511019E-4</v>
      </c>
      <c r="N26" s="199">
        <v>0.206127645487357</v>
      </c>
      <c r="O26" s="200">
        <v>0.0</v>
      </c>
      <c r="P26" s="200">
        <v>0.0</v>
      </c>
    </row>
    <row r="27" ht="15.75" customHeight="1">
      <c r="A27" s="196" t="str">
        <f t="shared" si="1"/>
        <v>MASmallOffice-224</v>
      </c>
      <c r="B27" s="196">
        <v>-2.0</v>
      </c>
      <c r="C27" s="196">
        <v>2.0</v>
      </c>
      <c r="D27" s="196">
        <v>4.0</v>
      </c>
      <c r="E27" s="199">
        <v>0.464965718197691</v>
      </c>
      <c r="F27" s="199">
        <v>-22.3888160376276</v>
      </c>
      <c r="G27" s="199">
        <v>-0.198043572246971</v>
      </c>
      <c r="H27" s="199">
        <v>25.4079964824413</v>
      </c>
      <c r="I27" s="200">
        <v>0.0</v>
      </c>
      <c r="J27" s="200">
        <v>0.0</v>
      </c>
      <c r="K27" s="199">
        <v>0.0115763522314163</v>
      </c>
      <c r="L27" s="199">
        <v>-0.595552444364847</v>
      </c>
      <c r="M27" s="199">
        <v>6.88576364384114E-4</v>
      </c>
      <c r="N27" s="199">
        <v>0.184123214054411</v>
      </c>
      <c r="O27" s="200">
        <v>0.0</v>
      </c>
      <c r="P27" s="200">
        <v>0.0</v>
      </c>
    </row>
    <row r="28" ht="15.75" customHeight="1">
      <c r="A28" s="196" t="str">
        <f t="shared" si="1"/>
        <v>MASmallOffice-231</v>
      </c>
      <c r="B28" s="196">
        <v>-2.0</v>
      </c>
      <c r="C28" s="196">
        <v>3.0</v>
      </c>
      <c r="D28" s="196">
        <v>1.0</v>
      </c>
      <c r="E28" s="199">
        <v>0.861539038664682</v>
      </c>
      <c r="F28" s="199">
        <v>-41.9776220338542</v>
      </c>
      <c r="G28" s="199">
        <v>-0.149151262934234</v>
      </c>
      <c r="H28" s="199">
        <v>30.617653634981</v>
      </c>
      <c r="I28" s="200">
        <v>0.0</v>
      </c>
      <c r="J28" s="200">
        <v>0.0</v>
      </c>
      <c r="K28" s="199">
        <v>0.0275247107333055</v>
      </c>
      <c r="L28" s="199">
        <v>-1.42518764311691</v>
      </c>
      <c r="M28" s="199">
        <v>0.00382880398648809</v>
      </c>
      <c r="N28" s="199">
        <v>0.27316759625309</v>
      </c>
      <c r="O28" s="200">
        <v>0.0</v>
      </c>
      <c r="P28" s="200">
        <v>0.0</v>
      </c>
    </row>
    <row r="29" ht="15.75" customHeight="1">
      <c r="A29" s="196" t="str">
        <f t="shared" si="1"/>
        <v>MASmallOffice-232</v>
      </c>
      <c r="B29" s="196">
        <v>-2.0</v>
      </c>
      <c r="C29" s="196">
        <v>3.0</v>
      </c>
      <c r="D29" s="196">
        <v>2.0</v>
      </c>
      <c r="E29" s="199">
        <v>0.481525848722941</v>
      </c>
      <c r="F29" s="199">
        <v>-20.4401518748322</v>
      </c>
      <c r="G29" s="199">
        <v>-0.0947013065795756</v>
      </c>
      <c r="H29" s="199">
        <v>20.5883202390405</v>
      </c>
      <c r="I29" s="200">
        <v>0.0</v>
      </c>
      <c r="J29" s="200">
        <v>0.0</v>
      </c>
      <c r="K29" s="199">
        <v>0.0167290387604994</v>
      </c>
      <c r="L29" s="199">
        <v>-0.807079565865005</v>
      </c>
      <c r="M29" s="199">
        <v>0.00315724848622884</v>
      </c>
      <c r="N29" s="199">
        <v>0.151330705199567</v>
      </c>
      <c r="O29" s="200">
        <v>0.0</v>
      </c>
      <c r="P29" s="200">
        <v>0.0</v>
      </c>
    </row>
    <row r="30" ht="15.75" customHeight="1">
      <c r="A30" s="196" t="str">
        <f t="shared" si="1"/>
        <v>MASmallOffice-233</v>
      </c>
      <c r="B30" s="196">
        <v>-2.0</v>
      </c>
      <c r="C30" s="196">
        <v>3.0</v>
      </c>
      <c r="D30" s="196">
        <v>3.0</v>
      </c>
      <c r="E30" s="199">
        <v>0.370737888468213</v>
      </c>
      <c r="F30" s="199">
        <v>-14.3326107064476</v>
      </c>
      <c r="G30" s="199">
        <v>-0.138985782170812</v>
      </c>
      <c r="H30" s="199">
        <v>22.3810282291041</v>
      </c>
      <c r="I30" s="200">
        <v>0.0</v>
      </c>
      <c r="J30" s="200">
        <v>0.0</v>
      </c>
      <c r="K30" s="199">
        <v>0.0134422090614322</v>
      </c>
      <c r="L30" s="199">
        <v>-0.621453580186438</v>
      </c>
      <c r="M30" s="199">
        <v>0.00151543218971539</v>
      </c>
      <c r="N30" s="199">
        <v>0.228316254574118</v>
      </c>
      <c r="O30" s="200">
        <v>0.0</v>
      </c>
      <c r="P30" s="200">
        <v>0.0</v>
      </c>
    </row>
    <row r="31" ht="15.75" customHeight="1">
      <c r="A31" s="196" t="str">
        <f t="shared" si="1"/>
        <v>MASmallOffice-234</v>
      </c>
      <c r="B31" s="196">
        <v>-2.0</v>
      </c>
      <c r="C31" s="196">
        <v>3.0</v>
      </c>
      <c r="D31" s="196">
        <v>4.0</v>
      </c>
      <c r="E31" s="199">
        <v>0.679358168588768</v>
      </c>
      <c r="F31" s="199">
        <v>-33.8348823854065</v>
      </c>
      <c r="G31" s="199">
        <v>-0.266898816692892</v>
      </c>
      <c r="H31" s="199">
        <v>34.6779225140194</v>
      </c>
      <c r="I31" s="200">
        <v>0.0</v>
      </c>
      <c r="J31" s="200">
        <v>0.0</v>
      </c>
      <c r="K31" s="199">
        <v>0.0166068245219072</v>
      </c>
      <c r="L31" s="199">
        <v>-0.871264255530102</v>
      </c>
      <c r="M31" s="199">
        <v>0.00125309530129858</v>
      </c>
      <c r="N31" s="199">
        <v>0.233147943284135</v>
      </c>
      <c r="O31" s="200">
        <v>0.0</v>
      </c>
      <c r="P31" s="200">
        <v>0.0</v>
      </c>
    </row>
    <row r="32" ht="15.75" customHeight="1">
      <c r="A32" s="196" t="str">
        <f t="shared" si="1"/>
        <v>MASmallOffice-241</v>
      </c>
      <c r="B32" s="196">
        <v>-2.0</v>
      </c>
      <c r="C32" s="196">
        <v>4.0</v>
      </c>
      <c r="D32" s="196">
        <v>1.0</v>
      </c>
      <c r="E32" s="199">
        <v>1.0912859514882</v>
      </c>
      <c r="F32" s="199">
        <v>-55.1773930902112</v>
      </c>
      <c r="G32" s="199">
        <v>-0.0664710332840862</v>
      </c>
      <c r="H32" s="199">
        <v>27.9383095281354</v>
      </c>
      <c r="I32" s="200">
        <v>0.0</v>
      </c>
      <c r="J32" s="200">
        <v>0.0</v>
      </c>
      <c r="K32" s="199">
        <v>0.0341780061217543</v>
      </c>
      <c r="L32" s="199">
        <v>-1.81042421391072</v>
      </c>
      <c r="M32" s="199">
        <v>0.00818110006079047</v>
      </c>
      <c r="N32" s="199">
        <v>0.048594060573759</v>
      </c>
      <c r="O32" s="200">
        <v>0.0</v>
      </c>
      <c r="P32" s="200">
        <v>0.0</v>
      </c>
    </row>
    <row r="33" ht="15.75" customHeight="1">
      <c r="A33" s="196" t="str">
        <f t="shared" si="1"/>
        <v>MASmallOffice-242</v>
      </c>
      <c r="B33" s="196">
        <v>-2.0</v>
      </c>
      <c r="C33" s="196">
        <v>4.0</v>
      </c>
      <c r="D33" s="196">
        <v>2.0</v>
      </c>
      <c r="E33" s="199">
        <v>0.662811688873626</v>
      </c>
      <c r="F33" s="199">
        <v>-30.069691386723</v>
      </c>
      <c r="G33" s="199">
        <v>-0.0856769512413947</v>
      </c>
      <c r="H33" s="199">
        <v>23.1280747783895</v>
      </c>
      <c r="I33" s="200">
        <v>0.0</v>
      </c>
      <c r="J33" s="200">
        <v>0.0</v>
      </c>
      <c r="K33" s="199">
        <v>0.0221488426890007</v>
      </c>
      <c r="L33" s="199">
        <v>-1.10208233892451</v>
      </c>
      <c r="M33" s="199">
        <v>0.00494568494426717</v>
      </c>
      <c r="N33" s="199">
        <v>0.109988675083665</v>
      </c>
      <c r="O33" s="200">
        <v>0.0</v>
      </c>
      <c r="P33" s="200">
        <v>0.0</v>
      </c>
    </row>
    <row r="34" ht="15.75" customHeight="1">
      <c r="A34" s="196" t="str">
        <f t="shared" si="1"/>
        <v>MASmallOffice-243</v>
      </c>
      <c r="B34" s="196">
        <v>-2.0</v>
      </c>
      <c r="C34" s="196">
        <v>4.0</v>
      </c>
      <c r="D34" s="196">
        <v>3.0</v>
      </c>
      <c r="E34" s="199">
        <v>0.538618118631053</v>
      </c>
      <c r="F34" s="199">
        <v>-23.1328033067084</v>
      </c>
      <c r="G34" s="199">
        <v>-0.15190961105268</v>
      </c>
      <c r="H34" s="199">
        <v>26.4657987883319</v>
      </c>
      <c r="I34" s="200">
        <v>0.0</v>
      </c>
      <c r="J34" s="200">
        <v>0.0</v>
      </c>
      <c r="K34" s="199">
        <v>0.0185219509022361</v>
      </c>
      <c r="L34" s="199">
        <v>-0.895337050864983</v>
      </c>
      <c r="M34" s="199">
        <v>0.00262235791744642</v>
      </c>
      <c r="N34" s="199">
        <v>0.234834932285955</v>
      </c>
      <c r="O34" s="200">
        <v>0.0</v>
      </c>
      <c r="P34" s="200">
        <v>0.0</v>
      </c>
    </row>
    <row r="35" ht="15.75" customHeight="1">
      <c r="A35" s="196" t="str">
        <f t="shared" si="1"/>
        <v>MASmallOffice-244</v>
      </c>
      <c r="B35" s="196">
        <v>-2.0</v>
      </c>
      <c r="C35" s="196">
        <v>4.0</v>
      </c>
      <c r="D35" s="196">
        <v>4.0</v>
      </c>
      <c r="E35" s="199">
        <v>0.902429223271824</v>
      </c>
      <c r="F35" s="199">
        <v>-46.2557423120564</v>
      </c>
      <c r="G35" s="199">
        <v>-0.310601776120729</v>
      </c>
      <c r="H35" s="199">
        <v>41.8251932910372</v>
      </c>
      <c r="I35" s="200">
        <v>0.0</v>
      </c>
      <c r="J35" s="200">
        <v>0.0</v>
      </c>
      <c r="K35" s="199">
        <v>0.0216953483023068</v>
      </c>
      <c r="L35" s="199">
        <v>-1.15821349320537</v>
      </c>
      <c r="M35" s="199">
        <v>0.00223527874743037</v>
      </c>
      <c r="N35" s="199">
        <v>0.246411736988529</v>
      </c>
      <c r="O35" s="200">
        <v>0.0</v>
      </c>
      <c r="P35" s="200">
        <v>0.0</v>
      </c>
    </row>
    <row r="36" ht="15.75" customHeight="1">
      <c r="A36" s="196" t="str">
        <f t="shared" si="1"/>
        <v>MASmallOffice-251</v>
      </c>
      <c r="B36" s="196">
        <v>-2.0</v>
      </c>
      <c r="C36" s="196">
        <v>5.0</v>
      </c>
      <c r="D36" s="196">
        <v>1.0</v>
      </c>
      <c r="E36" s="199">
        <v>1.28423237076987</v>
      </c>
      <c r="F36" s="199">
        <v>-66.5541387905021</v>
      </c>
      <c r="G36" s="199">
        <v>-0.00180196624086311</v>
      </c>
      <c r="H36" s="199">
        <v>26.07634604127</v>
      </c>
      <c r="I36" s="200">
        <v>0.0</v>
      </c>
      <c r="J36" s="200">
        <v>0.0</v>
      </c>
      <c r="K36" s="199">
        <v>0.0397291259873098</v>
      </c>
      <c r="L36" s="199">
        <v>-2.13878771551364</v>
      </c>
      <c r="M36" s="199">
        <v>0.0116980327938437</v>
      </c>
      <c r="N36" s="199">
        <v>-0.128473159494371</v>
      </c>
      <c r="O36" s="200">
        <v>0.0</v>
      </c>
      <c r="P36" s="200">
        <v>0.0</v>
      </c>
    </row>
    <row r="37" ht="15.75" customHeight="1">
      <c r="A37" s="196" t="str">
        <f t="shared" si="1"/>
        <v>MASmallOffice-252</v>
      </c>
      <c r="B37" s="196">
        <v>-2.0</v>
      </c>
      <c r="C37" s="196">
        <v>5.0</v>
      </c>
      <c r="D37" s="196">
        <v>2.0</v>
      </c>
      <c r="E37" s="199">
        <v>0.870317551981474</v>
      </c>
      <c r="F37" s="199">
        <v>-41.7654503013927</v>
      </c>
      <c r="G37" s="199">
        <v>-0.083474002107265</v>
      </c>
      <c r="H37" s="199">
        <v>25.9906182064185</v>
      </c>
      <c r="I37" s="200">
        <v>0.0</v>
      </c>
      <c r="J37" s="200">
        <v>0.0</v>
      </c>
      <c r="K37" s="199">
        <v>0.0281669887485397</v>
      </c>
      <c r="L37" s="199">
        <v>-1.44464348824653</v>
      </c>
      <c r="M37" s="199">
        <v>0.00643820043138818</v>
      </c>
      <c r="N37" s="199">
        <v>0.0855886176598571</v>
      </c>
      <c r="O37" s="200">
        <v>0.0</v>
      </c>
      <c r="P37" s="200">
        <v>0.0</v>
      </c>
    </row>
    <row r="38" ht="15.75" customHeight="1">
      <c r="A38" s="196" t="str">
        <f t="shared" si="1"/>
        <v>MASmallOffice-253</v>
      </c>
      <c r="B38" s="196">
        <v>-2.0</v>
      </c>
      <c r="C38" s="196">
        <v>5.0</v>
      </c>
      <c r="D38" s="196">
        <v>3.0</v>
      </c>
      <c r="E38" s="199">
        <v>0.716164046332816</v>
      </c>
      <c r="F38" s="199">
        <v>-32.7960779546841</v>
      </c>
      <c r="G38" s="199">
        <v>-0.156717922312183</v>
      </c>
      <c r="H38" s="199">
        <v>29.7940063191359</v>
      </c>
      <c r="I38" s="200">
        <v>0.0</v>
      </c>
      <c r="J38" s="200">
        <v>0.0</v>
      </c>
      <c r="K38" s="199">
        <v>0.0237694816969657</v>
      </c>
      <c r="L38" s="199">
        <v>-1.18577027390126</v>
      </c>
      <c r="M38" s="199">
        <v>0.00388422755654086</v>
      </c>
      <c r="N38" s="199">
        <v>0.225824855890638</v>
      </c>
      <c r="O38" s="200">
        <v>0.0</v>
      </c>
      <c r="P38" s="200">
        <v>0.0</v>
      </c>
    </row>
    <row r="39" ht="15.75" customHeight="1">
      <c r="A39" s="196" t="str">
        <f t="shared" si="1"/>
        <v>MASmallOffice-254</v>
      </c>
      <c r="B39" s="196">
        <v>-2.0</v>
      </c>
      <c r="C39" s="196">
        <v>5.0</v>
      </c>
      <c r="D39" s="196">
        <v>4.0</v>
      </c>
      <c r="E39" s="199">
        <v>1.11785879641718</v>
      </c>
      <c r="F39" s="199">
        <v>-58.5667114336871</v>
      </c>
      <c r="G39" s="199">
        <v>-0.325867569442007</v>
      </c>
      <c r="H39" s="199">
        <v>46.533198673577</v>
      </c>
      <c r="I39" s="200">
        <v>0.0</v>
      </c>
      <c r="J39" s="200">
        <v>0.0</v>
      </c>
      <c r="K39" s="199">
        <v>0.0265718404154861</v>
      </c>
      <c r="L39" s="199">
        <v>-1.43871755438673</v>
      </c>
      <c r="M39" s="199">
        <v>0.00368990750593252</v>
      </c>
      <c r="N39" s="199">
        <v>0.218316879143505</v>
      </c>
      <c r="O39" s="200">
        <v>0.0</v>
      </c>
      <c r="P39" s="200">
        <v>0.0</v>
      </c>
    </row>
    <row r="40" ht="15.75" customHeight="1">
      <c r="A40" s="196" t="str">
        <f t="shared" si="1"/>
        <v>MASmallOffice-261</v>
      </c>
      <c r="B40" s="196">
        <v>-2.0</v>
      </c>
      <c r="C40" s="196">
        <v>6.0</v>
      </c>
      <c r="D40" s="196">
        <v>1.0</v>
      </c>
      <c r="E40" s="199">
        <v>1.42325247086103</v>
      </c>
      <c r="F40" s="199">
        <v>-74.8972827633973</v>
      </c>
      <c r="G40" s="199">
        <v>0.106443193898526</v>
      </c>
      <c r="H40" s="199">
        <v>20.3622808984836</v>
      </c>
      <c r="I40" s="200">
        <v>0.0</v>
      </c>
      <c r="J40" s="200">
        <v>0.0</v>
      </c>
      <c r="K40" s="199">
        <v>0.0437485660070459</v>
      </c>
      <c r="L40" s="199">
        <v>-2.38035512104327</v>
      </c>
      <c r="M40" s="199">
        <v>0.0163473416557242</v>
      </c>
      <c r="N40" s="199">
        <v>-0.407234256425895</v>
      </c>
      <c r="O40" s="200">
        <v>0.0</v>
      </c>
      <c r="P40" s="200">
        <v>0.0</v>
      </c>
    </row>
    <row r="41" ht="15.75" customHeight="1">
      <c r="A41" s="196" t="str">
        <f t="shared" si="1"/>
        <v>MASmallOffice-262</v>
      </c>
      <c r="B41" s="196">
        <v>-2.0</v>
      </c>
      <c r="C41" s="196">
        <v>6.0</v>
      </c>
      <c r="D41" s="196">
        <v>2.0</v>
      </c>
      <c r="E41" s="199">
        <v>1.09736347400988</v>
      </c>
      <c r="F41" s="199">
        <v>-55.0239435224702</v>
      </c>
      <c r="G41" s="199">
        <v>-0.0979970977574227</v>
      </c>
      <c r="H41" s="199">
        <v>30.0374663036398</v>
      </c>
      <c r="I41" s="200">
        <v>0.0</v>
      </c>
      <c r="J41" s="200">
        <v>0.0</v>
      </c>
      <c r="K41" s="199">
        <v>0.0347012801460949</v>
      </c>
      <c r="L41" s="199">
        <v>-1.8276229025255</v>
      </c>
      <c r="M41" s="199">
        <v>0.00731937662235411</v>
      </c>
      <c r="N41" s="199">
        <v>0.105467956926401</v>
      </c>
      <c r="O41" s="200">
        <v>0.0</v>
      </c>
      <c r="P41" s="200">
        <v>0.0</v>
      </c>
    </row>
    <row r="42" ht="15.75" customHeight="1">
      <c r="A42" s="196" t="str">
        <f t="shared" si="1"/>
        <v>MASmallOffice-263</v>
      </c>
      <c r="B42" s="196">
        <v>-2.0</v>
      </c>
      <c r="C42" s="196">
        <v>6.0</v>
      </c>
      <c r="D42" s="196">
        <v>3.0</v>
      </c>
      <c r="E42" s="199">
        <v>0.917644394705705</v>
      </c>
      <c r="F42" s="199">
        <v>-44.3321149708791</v>
      </c>
      <c r="G42" s="199">
        <v>-0.154957681834571</v>
      </c>
      <c r="H42" s="199">
        <v>32.4478393098888</v>
      </c>
      <c r="I42" s="200">
        <v>0.0</v>
      </c>
      <c r="J42" s="200">
        <v>0.0</v>
      </c>
      <c r="K42" s="199">
        <v>0.0295767404232586</v>
      </c>
      <c r="L42" s="199">
        <v>-1.52019603813946</v>
      </c>
      <c r="M42" s="199">
        <v>0.00524807441514506</v>
      </c>
      <c r="N42" s="199">
        <v>0.204292634040798</v>
      </c>
      <c r="O42" s="200">
        <v>0.0</v>
      </c>
      <c r="P42" s="200">
        <v>0.0</v>
      </c>
    </row>
    <row r="43" ht="15.75" customHeight="1">
      <c r="A43" s="196" t="str">
        <f t="shared" si="1"/>
        <v>MASmallOffice-264</v>
      </c>
      <c r="B43" s="196">
        <v>-2.0</v>
      </c>
      <c r="C43" s="196">
        <v>6.0</v>
      </c>
      <c r="D43" s="196">
        <v>4.0</v>
      </c>
      <c r="E43" s="199">
        <v>1.32037310919043</v>
      </c>
      <c r="F43" s="199">
        <v>-70.3890874584742</v>
      </c>
      <c r="G43" s="199">
        <v>-0.303268935683367</v>
      </c>
      <c r="H43" s="199">
        <v>48.0045033345508</v>
      </c>
      <c r="I43" s="200">
        <v>0.0</v>
      </c>
      <c r="J43" s="200">
        <v>0.0</v>
      </c>
      <c r="K43" s="199">
        <v>0.0311661249882488</v>
      </c>
      <c r="L43" s="199">
        <v>-1.70771496889393</v>
      </c>
      <c r="M43" s="199">
        <v>0.00585350267157319</v>
      </c>
      <c r="N43" s="199">
        <v>0.128764596606787</v>
      </c>
      <c r="O43" s="200">
        <v>0.0</v>
      </c>
      <c r="P43" s="200">
        <v>0.0</v>
      </c>
    </row>
    <row r="44" ht="15.75" customHeight="1">
      <c r="B44" s="194" t="s">
        <v>202</v>
      </c>
      <c r="C44" s="194"/>
      <c r="D44" s="194"/>
      <c r="E44" s="194" t="s">
        <v>193</v>
      </c>
      <c r="F44" s="194"/>
      <c r="G44" s="195" t="s">
        <v>194</v>
      </c>
      <c r="H44" s="193"/>
      <c r="I44" s="194" t="s">
        <v>195</v>
      </c>
      <c r="J44" s="194"/>
      <c r="K44" s="194" t="s">
        <v>193</v>
      </c>
      <c r="L44" s="194"/>
      <c r="M44" s="195" t="s">
        <v>194</v>
      </c>
      <c r="N44" s="193"/>
      <c r="O44" s="194" t="s">
        <v>195</v>
      </c>
      <c r="P44" s="194"/>
    </row>
    <row r="45" ht="15.75" customHeight="1">
      <c r="A45" s="196" t="s">
        <v>196</v>
      </c>
      <c r="B45" s="197" t="s">
        <v>197</v>
      </c>
      <c r="C45" s="198" t="s">
        <v>198</v>
      </c>
      <c r="D45" s="196" t="s">
        <v>203</v>
      </c>
      <c r="E45" s="196" t="s">
        <v>200</v>
      </c>
      <c r="F45" s="196" t="s">
        <v>201</v>
      </c>
      <c r="G45" s="196" t="s">
        <v>200</v>
      </c>
      <c r="H45" s="196" t="s">
        <v>201</v>
      </c>
      <c r="I45" s="196" t="s">
        <v>200</v>
      </c>
      <c r="J45" s="196" t="s">
        <v>201</v>
      </c>
      <c r="K45" s="196" t="s">
        <v>200</v>
      </c>
      <c r="L45" s="196" t="s">
        <v>201</v>
      </c>
      <c r="M45" s="196" t="s">
        <v>200</v>
      </c>
      <c r="N45" s="196" t="s">
        <v>201</v>
      </c>
      <c r="O45" s="196" t="s">
        <v>200</v>
      </c>
      <c r="P45" s="196" t="s">
        <v>201</v>
      </c>
    </row>
    <row r="46" ht="15.75" customHeight="1">
      <c r="A46" s="196" t="str">
        <f t="shared" ref="A46:A85" si="2">$C$2&amp;$B$44&amp; B46&amp; C46&amp;D46</f>
        <v>MAMediumOffice021</v>
      </c>
      <c r="B46" s="196">
        <v>0.0</v>
      </c>
      <c r="C46" s="196">
        <v>2.0</v>
      </c>
      <c r="D46" s="196">
        <v>1.0</v>
      </c>
      <c r="E46" s="199">
        <v>0.184209108701755</v>
      </c>
      <c r="F46" s="199">
        <v>-11.3782672196974</v>
      </c>
      <c r="G46" s="199">
        <v>0.674829557454738</v>
      </c>
      <c r="H46" s="199">
        <v>-48.0675935845043</v>
      </c>
      <c r="I46" s="200">
        <v>0.0</v>
      </c>
      <c r="J46" s="200">
        <v>0.0</v>
      </c>
      <c r="K46" s="199">
        <v>0.00466622995460299</v>
      </c>
      <c r="L46" s="199">
        <v>-0.275253811143311</v>
      </c>
      <c r="M46" s="199">
        <v>0.0240197098564002</v>
      </c>
      <c r="N46" s="199">
        <v>-1.73891197094284</v>
      </c>
      <c r="O46" s="200">
        <v>0.0</v>
      </c>
      <c r="P46" s="200">
        <v>0.0</v>
      </c>
    </row>
    <row r="47" ht="15.75" customHeight="1">
      <c r="A47" s="196" t="str">
        <f t="shared" si="2"/>
        <v>MAMediumOffice022</v>
      </c>
      <c r="B47" s="196">
        <v>0.0</v>
      </c>
      <c r="C47" s="196">
        <v>2.0</v>
      </c>
      <c r="D47" s="196">
        <v>2.0</v>
      </c>
      <c r="E47" s="199">
        <v>0.200849925040545</v>
      </c>
      <c r="F47" s="199">
        <v>-11.9558811767076</v>
      </c>
      <c r="G47" s="199">
        <v>0.576007075233592</v>
      </c>
      <c r="H47" s="199">
        <v>-39.5593455443023</v>
      </c>
      <c r="I47" s="200">
        <v>0.0</v>
      </c>
      <c r="J47" s="200">
        <v>0.0</v>
      </c>
      <c r="K47" s="199">
        <v>0.00541985200730762</v>
      </c>
      <c r="L47" s="199">
        <v>-0.31982298608489</v>
      </c>
      <c r="M47" s="199">
        <v>0.0200360845852112</v>
      </c>
      <c r="N47" s="199">
        <v>-1.4120569915364</v>
      </c>
      <c r="O47" s="200">
        <v>0.0</v>
      </c>
      <c r="P47" s="200">
        <v>0.0</v>
      </c>
    </row>
    <row r="48" ht="15.75" customHeight="1">
      <c r="A48" s="196" t="str">
        <f t="shared" si="2"/>
        <v>MAMediumOffice023</v>
      </c>
      <c r="B48" s="196">
        <v>0.0</v>
      </c>
      <c r="C48" s="196">
        <v>2.0</v>
      </c>
      <c r="D48" s="196">
        <v>3.0</v>
      </c>
      <c r="E48" s="199">
        <v>0.218576728328185</v>
      </c>
      <c r="F48" s="199">
        <v>-12.8395491806108</v>
      </c>
      <c r="G48" s="199">
        <v>0.547452630251918</v>
      </c>
      <c r="H48" s="199">
        <v>-37.1827231014194</v>
      </c>
      <c r="I48" s="200">
        <v>0.0</v>
      </c>
      <c r="J48" s="200">
        <v>0.0</v>
      </c>
      <c r="K48" s="199">
        <v>0.0061879732500355</v>
      </c>
      <c r="L48" s="199">
        <v>-0.357602012540424</v>
      </c>
      <c r="M48" s="199">
        <v>0.0196502005283966</v>
      </c>
      <c r="N48" s="199">
        <v>-1.37048820516161</v>
      </c>
      <c r="O48" s="200">
        <v>0.0</v>
      </c>
      <c r="P48" s="200">
        <v>0.0</v>
      </c>
    </row>
    <row r="49" ht="15.75" customHeight="1">
      <c r="A49" s="196" t="str">
        <f t="shared" si="2"/>
        <v>MAMediumOffice024</v>
      </c>
      <c r="B49" s="196">
        <v>0.0</v>
      </c>
      <c r="C49" s="196">
        <v>2.0</v>
      </c>
      <c r="D49" s="196">
        <v>4.0</v>
      </c>
      <c r="E49" s="199">
        <v>0.118233196686418</v>
      </c>
      <c r="F49" s="199">
        <v>-7.34719889678791</v>
      </c>
      <c r="G49" s="199">
        <v>0.476113885969861</v>
      </c>
      <c r="H49" s="199">
        <v>-33.4499187693227</v>
      </c>
      <c r="I49" s="200">
        <v>0.0</v>
      </c>
      <c r="J49" s="200">
        <v>0.0</v>
      </c>
      <c r="K49" s="199">
        <v>0.00199960075180138</v>
      </c>
      <c r="L49" s="199">
        <v>-0.105942089033881</v>
      </c>
      <c r="M49" s="199">
        <v>0.0150252519432992</v>
      </c>
      <c r="N49" s="199">
        <v>-1.08028315402031</v>
      </c>
      <c r="O49" s="200">
        <v>0.0</v>
      </c>
      <c r="P49" s="200">
        <v>0.0</v>
      </c>
    </row>
    <row r="50" ht="15.75" customHeight="1">
      <c r="A50" s="196" t="str">
        <f t="shared" si="2"/>
        <v>MAMediumOffice031</v>
      </c>
      <c r="B50" s="196">
        <v>0.0</v>
      </c>
      <c r="C50" s="196">
        <v>3.0</v>
      </c>
      <c r="D50" s="196">
        <v>1.0</v>
      </c>
      <c r="E50" s="199">
        <v>0.18933402755978</v>
      </c>
      <c r="F50" s="199">
        <v>-11.6840307650665</v>
      </c>
      <c r="G50" s="199">
        <v>0.780287831438504</v>
      </c>
      <c r="H50" s="199">
        <v>-56.0549241331123</v>
      </c>
      <c r="I50" s="200">
        <v>0.0</v>
      </c>
      <c r="J50" s="200">
        <v>0.0</v>
      </c>
      <c r="K50" s="199">
        <v>0.00479792946708532</v>
      </c>
      <c r="L50" s="199">
        <v>-0.283135851814862</v>
      </c>
      <c r="M50" s="199">
        <v>0.0275545327652438</v>
      </c>
      <c r="N50" s="199">
        <v>-2.007886178053</v>
      </c>
      <c r="O50" s="200">
        <v>0.0</v>
      </c>
      <c r="P50" s="200">
        <v>0.0</v>
      </c>
    </row>
    <row r="51" ht="15.75" customHeight="1">
      <c r="A51" s="196" t="str">
        <f t="shared" si="2"/>
        <v>MAMediumOffice032</v>
      </c>
      <c r="B51" s="196">
        <v>0.0</v>
      </c>
      <c r="C51" s="196">
        <v>3.0</v>
      </c>
      <c r="D51" s="196">
        <v>2.0</v>
      </c>
      <c r="E51" s="199">
        <v>0.206953182035509</v>
      </c>
      <c r="F51" s="199">
        <v>-12.327023738927</v>
      </c>
      <c r="G51" s="199">
        <v>0.733975140940959</v>
      </c>
      <c r="H51" s="199">
        <v>-51.4428322260403</v>
      </c>
      <c r="I51" s="200">
        <v>0.0</v>
      </c>
      <c r="J51" s="200">
        <v>0.0</v>
      </c>
      <c r="K51" s="199">
        <v>0.00557800214845453</v>
      </c>
      <c r="L51" s="199">
        <v>-0.32945054009649</v>
      </c>
      <c r="M51" s="199">
        <v>0.0252371886718023</v>
      </c>
      <c r="N51" s="199">
        <v>-1.80481411263362</v>
      </c>
      <c r="O51" s="200">
        <v>0.0</v>
      </c>
      <c r="P51" s="200">
        <v>0.0</v>
      </c>
    </row>
    <row r="52" ht="15.75" customHeight="1">
      <c r="A52" s="196" t="str">
        <f t="shared" si="2"/>
        <v>MAMediumOffice033</v>
      </c>
      <c r="B52" s="196">
        <v>0.0</v>
      </c>
      <c r="C52" s="196">
        <v>3.0</v>
      </c>
      <c r="D52" s="196">
        <v>3.0</v>
      </c>
      <c r="E52" s="199">
        <v>0.225291747349174</v>
      </c>
      <c r="F52" s="199">
        <v>-13.2436774992734</v>
      </c>
      <c r="G52" s="199">
        <v>0.746043237790429</v>
      </c>
      <c r="H52" s="199">
        <v>-52.0153073854672</v>
      </c>
      <c r="I52" s="200">
        <v>0.0</v>
      </c>
      <c r="J52" s="200">
        <v>0.0</v>
      </c>
      <c r="K52" s="199">
        <v>0.00636794226577852</v>
      </c>
      <c r="L52" s="199">
        <v>-0.368439501831478</v>
      </c>
      <c r="M52" s="199">
        <v>0.0262566717942694</v>
      </c>
      <c r="N52" s="199">
        <v>-1.86593923946412</v>
      </c>
      <c r="O52" s="200">
        <v>0.0</v>
      </c>
      <c r="P52" s="200">
        <v>0.0</v>
      </c>
    </row>
    <row r="53" ht="15.75" customHeight="1">
      <c r="A53" s="196" t="str">
        <f t="shared" si="2"/>
        <v>MAMediumOffice034</v>
      </c>
      <c r="B53" s="196">
        <v>0.0</v>
      </c>
      <c r="C53" s="196">
        <v>3.0</v>
      </c>
      <c r="D53" s="196">
        <v>4.0</v>
      </c>
      <c r="E53" s="199">
        <v>0.12420995441767</v>
      </c>
      <c r="F53" s="199">
        <v>-7.70024986258604</v>
      </c>
      <c r="G53" s="199">
        <v>0.593388194398271</v>
      </c>
      <c r="H53" s="199">
        <v>-42.1558990281446</v>
      </c>
      <c r="I53" s="200">
        <v>0.0</v>
      </c>
      <c r="J53" s="200">
        <v>0.0</v>
      </c>
      <c r="K53" s="199">
        <v>0.00213336851246388</v>
      </c>
      <c r="L53" s="199">
        <v>-0.113859048461685</v>
      </c>
      <c r="M53" s="199">
        <v>0.0185244215250834</v>
      </c>
      <c r="N53" s="199">
        <v>-1.34239408085841</v>
      </c>
      <c r="O53" s="200">
        <v>0.0</v>
      </c>
      <c r="P53" s="200">
        <v>0.0</v>
      </c>
    </row>
    <row r="54" ht="15.75" customHeight="1">
      <c r="A54" s="196" t="str">
        <f t="shared" si="2"/>
        <v>MAMediumOffice041</v>
      </c>
      <c r="B54" s="196">
        <v>0.0</v>
      </c>
      <c r="C54" s="196">
        <v>4.0</v>
      </c>
      <c r="D54" s="196">
        <v>1.0</v>
      </c>
      <c r="E54" s="199">
        <v>0.189858909098545</v>
      </c>
      <c r="F54" s="199">
        <v>-11.7158812353867</v>
      </c>
      <c r="G54" s="199">
        <v>0.816904078806289</v>
      </c>
      <c r="H54" s="199">
        <v>-58.8668898467145</v>
      </c>
      <c r="I54" s="200">
        <v>0.0</v>
      </c>
      <c r="J54" s="200">
        <v>0.0</v>
      </c>
      <c r="K54" s="199">
        <v>0.00481103589853285</v>
      </c>
      <c r="L54" s="199">
        <v>-0.283931190581951</v>
      </c>
      <c r="M54" s="199">
        <v>0.0287765234140121</v>
      </c>
      <c r="N54" s="199">
        <v>-2.10204076997716</v>
      </c>
      <c r="O54" s="200">
        <v>0.0</v>
      </c>
      <c r="P54" s="200">
        <v>0.0</v>
      </c>
    </row>
    <row r="55" ht="15.75" customHeight="1">
      <c r="A55" s="196" t="str">
        <f t="shared" si="2"/>
        <v>MAMediumOffice042</v>
      </c>
      <c r="B55" s="196">
        <v>0.0</v>
      </c>
      <c r="C55" s="196">
        <v>4.0</v>
      </c>
      <c r="D55" s="196">
        <v>2.0</v>
      </c>
      <c r="E55" s="199">
        <v>0.207483293646026</v>
      </c>
      <c r="F55" s="199">
        <v>-12.3590916336826</v>
      </c>
      <c r="G55" s="199">
        <v>0.798667752313686</v>
      </c>
      <c r="H55" s="199">
        <v>-56.4090237032716</v>
      </c>
      <c r="I55" s="200">
        <v>0.0</v>
      </c>
      <c r="J55" s="200">
        <v>0.0</v>
      </c>
      <c r="K55" s="199">
        <v>0.00559135412508084</v>
      </c>
      <c r="L55" s="199">
        <v>-0.330258364969804</v>
      </c>
      <c r="M55" s="199">
        <v>0.0273753194097843</v>
      </c>
      <c r="N55" s="199">
        <v>-1.96928838348661</v>
      </c>
      <c r="O55" s="200">
        <v>0.0</v>
      </c>
      <c r="P55" s="200">
        <v>0.0</v>
      </c>
    </row>
    <row r="56" ht="15.75" customHeight="1">
      <c r="A56" s="196" t="str">
        <f t="shared" si="2"/>
        <v>MAMediumOffice043</v>
      </c>
      <c r="B56" s="196">
        <v>0.0</v>
      </c>
      <c r="C56" s="196">
        <v>4.0</v>
      </c>
      <c r="D56" s="196">
        <v>3.0</v>
      </c>
      <c r="E56" s="199">
        <v>0.226256421067681</v>
      </c>
      <c r="F56" s="199">
        <v>-13.3026363121158</v>
      </c>
      <c r="G56" s="199">
        <v>0.829059261912721</v>
      </c>
      <c r="H56" s="199">
        <v>-58.3221430323425</v>
      </c>
      <c r="I56" s="200">
        <v>0.0</v>
      </c>
      <c r="J56" s="200">
        <v>0.0</v>
      </c>
      <c r="K56" s="199">
        <v>0.00639355536519724</v>
      </c>
      <c r="L56" s="199">
        <v>-0.370004609765489</v>
      </c>
      <c r="M56" s="199">
        <v>0.0290169990115065</v>
      </c>
      <c r="N56" s="199">
        <v>-2.07614905258052</v>
      </c>
      <c r="O56" s="200">
        <v>0.0</v>
      </c>
      <c r="P56" s="200">
        <v>0.0</v>
      </c>
    </row>
    <row r="57" ht="15.75" customHeight="1">
      <c r="A57" s="196" t="str">
        <f t="shared" si="2"/>
        <v>MAMediumOffice044</v>
      </c>
      <c r="B57" s="196">
        <v>0.0</v>
      </c>
      <c r="C57" s="196">
        <v>4.0</v>
      </c>
      <c r="D57" s="196">
        <v>4.0</v>
      </c>
      <c r="E57" s="199">
        <v>0.125559296062539</v>
      </c>
      <c r="F57" s="199">
        <v>-7.78173522766238</v>
      </c>
      <c r="G57" s="199">
        <v>0.658941216901793</v>
      </c>
      <c r="H57" s="199">
        <v>-47.0451377009085</v>
      </c>
      <c r="I57" s="200">
        <v>0.0</v>
      </c>
      <c r="J57" s="200">
        <v>0.0</v>
      </c>
      <c r="K57" s="199">
        <v>0.00216213421336273</v>
      </c>
      <c r="L57" s="199">
        <v>-0.115595242888791</v>
      </c>
      <c r="M57" s="199">
        <v>0.0203918247504474</v>
      </c>
      <c r="N57" s="199">
        <v>-1.48275950747704</v>
      </c>
      <c r="O57" s="200">
        <v>0.0</v>
      </c>
      <c r="P57" s="200">
        <v>0.0</v>
      </c>
    </row>
    <row r="58" ht="15.75" customHeight="1">
      <c r="A58" s="196" t="str">
        <f t="shared" si="2"/>
        <v>MAMediumOffice051</v>
      </c>
      <c r="B58" s="196">
        <v>0.0</v>
      </c>
      <c r="C58" s="196">
        <v>5.0</v>
      </c>
      <c r="D58" s="196">
        <v>1.0</v>
      </c>
      <c r="E58" s="199">
        <v>0.189826242326133</v>
      </c>
      <c r="F58" s="199">
        <v>-11.7138967511411</v>
      </c>
      <c r="G58" s="199">
        <v>0.819939376399744</v>
      </c>
      <c r="H58" s="199">
        <v>-59.1009289871634</v>
      </c>
      <c r="I58" s="200">
        <v>0.0</v>
      </c>
      <c r="J58" s="200">
        <v>0.0</v>
      </c>
      <c r="K58" s="199">
        <v>0.00481021971004861</v>
      </c>
      <c r="L58" s="199">
        <v>-0.283882554084634</v>
      </c>
      <c r="M58" s="199">
        <v>0.0288759370891348</v>
      </c>
      <c r="N58" s="199">
        <v>-2.10972412503832</v>
      </c>
      <c r="O58" s="200">
        <v>0.0</v>
      </c>
      <c r="P58" s="200">
        <v>0.0</v>
      </c>
    </row>
    <row r="59" ht="15.75" customHeight="1">
      <c r="A59" s="196" t="str">
        <f t="shared" si="2"/>
        <v>MAMediumOffice052</v>
      </c>
      <c r="B59" s="196">
        <v>0.0</v>
      </c>
      <c r="C59" s="196">
        <v>5.0</v>
      </c>
      <c r="D59" s="196">
        <v>2.0</v>
      </c>
      <c r="E59" s="199">
        <v>0.207428669081267</v>
      </c>
      <c r="F59" s="199">
        <v>-12.3557965274763</v>
      </c>
      <c r="G59" s="199">
        <v>0.80752429924927</v>
      </c>
      <c r="H59" s="199">
        <v>-57.0914572006692</v>
      </c>
      <c r="I59" s="200">
        <v>0.0</v>
      </c>
      <c r="J59" s="200">
        <v>0.0</v>
      </c>
      <c r="K59" s="199">
        <v>0.00558992433669814</v>
      </c>
      <c r="L59" s="199">
        <v>-0.330172673449614</v>
      </c>
      <c r="M59" s="199">
        <v>0.0276627491215731</v>
      </c>
      <c r="N59" s="199">
        <v>-1.99146613422699</v>
      </c>
      <c r="O59" s="200">
        <v>0.0</v>
      </c>
      <c r="P59" s="200">
        <v>0.0</v>
      </c>
    </row>
    <row r="60" ht="15.75" customHeight="1">
      <c r="A60" s="196" t="str">
        <f t="shared" si="2"/>
        <v>MAMediumOffice053</v>
      </c>
      <c r="B60" s="196">
        <v>0.0</v>
      </c>
      <c r="C60" s="196">
        <v>5.0</v>
      </c>
      <c r="D60" s="196">
        <v>3.0</v>
      </c>
      <c r="E60" s="199">
        <v>0.226244905185167</v>
      </c>
      <c r="F60" s="199">
        <v>-13.3019007211665</v>
      </c>
      <c r="G60" s="199">
        <v>0.844049662165338</v>
      </c>
      <c r="H60" s="199">
        <v>-59.4633220039542</v>
      </c>
      <c r="I60" s="200">
        <v>0.0</v>
      </c>
      <c r="J60" s="200">
        <v>0.0</v>
      </c>
      <c r="K60" s="199">
        <v>0.00639322847944062</v>
      </c>
      <c r="L60" s="199">
        <v>-0.36998425191191</v>
      </c>
      <c r="M60" s="199">
        <v>0.02950542061138</v>
      </c>
      <c r="N60" s="199">
        <v>-2.11339957076621</v>
      </c>
      <c r="O60" s="200">
        <v>0.0</v>
      </c>
      <c r="P60" s="200">
        <v>0.0</v>
      </c>
    </row>
    <row r="61" ht="15.75" customHeight="1">
      <c r="A61" s="196" t="str">
        <f t="shared" si="2"/>
        <v>MAMediumOffice054</v>
      </c>
      <c r="B61" s="196">
        <v>0.0</v>
      </c>
      <c r="C61" s="196">
        <v>5.0</v>
      </c>
      <c r="D61" s="196">
        <v>4.0</v>
      </c>
      <c r="E61" s="199">
        <v>0.125635963775863</v>
      </c>
      <c r="F61" s="199">
        <v>-7.78655224696799</v>
      </c>
      <c r="G61" s="199">
        <v>0.709768030386278</v>
      </c>
      <c r="H61" s="199">
        <v>-50.9369541669382</v>
      </c>
      <c r="I61" s="200">
        <v>0.0</v>
      </c>
      <c r="J61" s="200">
        <v>0.0</v>
      </c>
      <c r="K61" s="199">
        <v>0.0021637614780819</v>
      </c>
      <c r="L61" s="199">
        <v>-0.115697873324765</v>
      </c>
      <c r="M61" s="199">
        <v>0.0217705141677392</v>
      </c>
      <c r="N61" s="199">
        <v>-1.58854786466544</v>
      </c>
      <c r="O61" s="200">
        <v>0.0</v>
      </c>
      <c r="P61" s="200">
        <v>0.0</v>
      </c>
    </row>
    <row r="62" ht="15.75" customHeight="1">
      <c r="A62" s="196" t="str">
        <f t="shared" si="2"/>
        <v>MAMediumOffice061</v>
      </c>
      <c r="B62" s="196">
        <v>0.0</v>
      </c>
      <c r="C62" s="196">
        <v>6.0</v>
      </c>
      <c r="D62" s="196">
        <v>1.0</v>
      </c>
      <c r="E62" s="199">
        <v>0.186874962788208</v>
      </c>
      <c r="F62" s="199">
        <v>-11.2676821417728</v>
      </c>
      <c r="G62" s="199">
        <v>0.819965801234805</v>
      </c>
      <c r="H62" s="199">
        <v>-59.1031148238106</v>
      </c>
      <c r="I62" s="200">
        <v>0.0</v>
      </c>
      <c r="J62" s="200">
        <v>0.0</v>
      </c>
      <c r="K62" s="199">
        <v>0.00481184049013949</v>
      </c>
      <c r="L62" s="199">
        <v>-0.283532934688868</v>
      </c>
      <c r="M62" s="199">
        <v>0.0288765105276751</v>
      </c>
      <c r="N62" s="199">
        <v>-2.10977146612084</v>
      </c>
      <c r="O62" s="200">
        <v>0.0</v>
      </c>
      <c r="P62" s="200">
        <v>0.0</v>
      </c>
    </row>
    <row r="63" ht="15.75" customHeight="1">
      <c r="A63" s="196" t="str">
        <f t="shared" si="2"/>
        <v>MAMediumOffice062</v>
      </c>
      <c r="B63" s="196">
        <v>0.0</v>
      </c>
      <c r="C63" s="196">
        <v>6.0</v>
      </c>
      <c r="D63" s="196">
        <v>2.0</v>
      </c>
      <c r="E63" s="199">
        <v>0.209347027240451</v>
      </c>
      <c r="F63" s="199">
        <v>-12.3685892892742</v>
      </c>
      <c r="G63" s="199">
        <v>0.807525790783583</v>
      </c>
      <c r="H63" s="199">
        <v>-57.0915365659129</v>
      </c>
      <c r="I63" s="200">
        <v>0.0</v>
      </c>
      <c r="J63" s="200">
        <v>0.0</v>
      </c>
      <c r="K63" s="199">
        <v>0.00559939830647246</v>
      </c>
      <c r="L63" s="199">
        <v>-0.330697307520987</v>
      </c>
      <c r="M63" s="199">
        <v>0.0276625826154022</v>
      </c>
      <c r="N63" s="199">
        <v>-1.99145110673744</v>
      </c>
      <c r="O63" s="200">
        <v>0.0</v>
      </c>
      <c r="P63" s="200">
        <v>0.0</v>
      </c>
    </row>
    <row r="64" ht="15.75" customHeight="1">
      <c r="A64" s="196" t="str">
        <f t="shared" si="2"/>
        <v>MAMediumOffice063</v>
      </c>
      <c r="B64" s="196">
        <v>0.0</v>
      </c>
      <c r="C64" s="196">
        <v>6.0</v>
      </c>
      <c r="D64" s="196">
        <v>3.0</v>
      </c>
      <c r="E64" s="199">
        <v>0.227659627207437</v>
      </c>
      <c r="F64" s="199">
        <v>-13.2186828533747</v>
      </c>
      <c r="G64" s="199">
        <v>0.84568088946083</v>
      </c>
      <c r="H64" s="199">
        <v>-59.5888428079075</v>
      </c>
      <c r="I64" s="200">
        <v>0.0</v>
      </c>
      <c r="J64" s="200">
        <v>0.0</v>
      </c>
      <c r="K64" s="199">
        <v>0.00639276793561796</v>
      </c>
      <c r="L64" s="199">
        <v>-0.369900343418436</v>
      </c>
      <c r="M64" s="199">
        <v>0.0295577833234588</v>
      </c>
      <c r="N64" s="199">
        <v>-2.11743036708901</v>
      </c>
      <c r="O64" s="200">
        <v>0.0</v>
      </c>
      <c r="P64" s="200">
        <v>0.0</v>
      </c>
    </row>
    <row r="65" ht="15.75" customHeight="1">
      <c r="A65" s="196" t="str">
        <f t="shared" si="2"/>
        <v>MAMediumOffice064</v>
      </c>
      <c r="B65" s="196">
        <v>0.0</v>
      </c>
      <c r="C65" s="196">
        <v>6.0</v>
      </c>
      <c r="D65" s="196">
        <v>4.0</v>
      </c>
      <c r="E65" s="199">
        <v>0.124148659179469</v>
      </c>
      <c r="F65" s="199">
        <v>-7.46151965561417</v>
      </c>
      <c r="G65" s="199">
        <v>0.730357456108892</v>
      </c>
      <c r="H65" s="199">
        <v>-52.5365668342894</v>
      </c>
      <c r="I65" s="200">
        <v>0.0</v>
      </c>
      <c r="J65" s="200">
        <v>0.0</v>
      </c>
      <c r="K65" s="199">
        <v>0.00216148937536529</v>
      </c>
      <c r="L65" s="199">
        <v>-0.115148994314407</v>
      </c>
      <c r="M65" s="199">
        <v>0.0223452026183335</v>
      </c>
      <c r="N65" s="199">
        <v>-1.63321140497331</v>
      </c>
      <c r="O65" s="200">
        <v>0.0</v>
      </c>
      <c r="P65" s="200">
        <v>0.0</v>
      </c>
    </row>
    <row r="66" ht="15.75" customHeight="1">
      <c r="A66" s="196" t="str">
        <f t="shared" si="2"/>
        <v>MAMediumOffice-221</v>
      </c>
      <c r="B66" s="196">
        <v>-2.0</v>
      </c>
      <c r="C66" s="196">
        <v>2.0</v>
      </c>
      <c r="D66" s="196">
        <v>1.0</v>
      </c>
      <c r="E66" s="199">
        <v>0.210123182442038</v>
      </c>
      <c r="F66" s="199">
        <v>-12.978711330526</v>
      </c>
      <c r="G66" s="199">
        <v>0.809751214346678</v>
      </c>
      <c r="H66" s="199">
        <v>-57.9592825556814</v>
      </c>
      <c r="I66" s="200">
        <v>0.0</v>
      </c>
      <c r="J66" s="200">
        <v>0.0</v>
      </c>
      <c r="K66" s="199">
        <v>0.0053329040080205</v>
      </c>
      <c r="L66" s="199">
        <v>-0.31647599315353</v>
      </c>
      <c r="M66" s="199">
        <v>0.028499983991753</v>
      </c>
      <c r="N66" s="199">
        <v>-2.07227718448221</v>
      </c>
      <c r="O66" s="200">
        <v>0.0</v>
      </c>
      <c r="P66" s="200">
        <v>0.0</v>
      </c>
    </row>
    <row r="67" ht="15.75" customHeight="1">
      <c r="A67" s="196" t="str">
        <f t="shared" si="2"/>
        <v>MAMediumOffice-222</v>
      </c>
      <c r="B67" s="196">
        <v>-2.0</v>
      </c>
      <c r="C67" s="196">
        <v>2.0</v>
      </c>
      <c r="D67" s="196">
        <v>2.0</v>
      </c>
      <c r="E67" s="199">
        <v>0.218257217882864</v>
      </c>
      <c r="F67" s="199">
        <v>-13.0409773762655</v>
      </c>
      <c r="G67" s="199">
        <v>0.695271157466039</v>
      </c>
      <c r="H67" s="199">
        <v>-48.3484058245132</v>
      </c>
      <c r="I67" s="200">
        <v>0.0</v>
      </c>
      <c r="J67" s="200">
        <v>0.0</v>
      </c>
      <c r="K67" s="199">
        <v>0.00586711047864861</v>
      </c>
      <c r="L67" s="199">
        <v>-0.34759916216986</v>
      </c>
      <c r="M67" s="199">
        <v>0.0240555662913949</v>
      </c>
      <c r="N67" s="199">
        <v>-1.71045969195808</v>
      </c>
      <c r="O67" s="200">
        <v>0.0</v>
      </c>
      <c r="P67" s="200">
        <v>0.0</v>
      </c>
    </row>
    <row r="68" ht="15.75" customHeight="1">
      <c r="A68" s="196" t="str">
        <f t="shared" si="2"/>
        <v>MAMediumOffice-223</v>
      </c>
      <c r="B68" s="196">
        <v>-2.0</v>
      </c>
      <c r="C68" s="196">
        <v>2.0</v>
      </c>
      <c r="D68" s="196">
        <v>3.0</v>
      </c>
      <c r="E68" s="199">
        <v>0.233214279775959</v>
      </c>
      <c r="F68" s="199">
        <v>-13.686687457448</v>
      </c>
      <c r="G68" s="199">
        <v>0.677405063228016</v>
      </c>
      <c r="H68" s="199">
        <v>-46.7943699799593</v>
      </c>
      <c r="I68" s="200">
        <v>0.0</v>
      </c>
      <c r="J68" s="200">
        <v>0.0</v>
      </c>
      <c r="K68" s="199">
        <v>0.00656285903710282</v>
      </c>
      <c r="L68" s="199">
        <v>-0.37992984705168</v>
      </c>
      <c r="M68" s="199">
        <v>0.0240220723010082</v>
      </c>
      <c r="N68" s="199">
        <v>-1.69572945936364</v>
      </c>
      <c r="O68" s="200">
        <v>0.0</v>
      </c>
      <c r="P68" s="200">
        <v>0.0</v>
      </c>
    </row>
    <row r="69" ht="15.75" customHeight="1">
      <c r="A69" s="196" t="str">
        <f t="shared" si="2"/>
        <v>MAMediumOffice-224</v>
      </c>
      <c r="B69" s="196">
        <v>-2.0</v>
      </c>
      <c r="C69" s="196">
        <v>2.0</v>
      </c>
      <c r="D69" s="196">
        <v>4.0</v>
      </c>
      <c r="E69" s="199">
        <v>0.109891734674482</v>
      </c>
      <c r="F69" s="199">
        <v>-6.50229037134501</v>
      </c>
      <c r="G69" s="199">
        <v>0.535143700338446</v>
      </c>
      <c r="H69" s="199">
        <v>-37.7630399192218</v>
      </c>
      <c r="I69" s="200">
        <v>0.0</v>
      </c>
      <c r="J69" s="200">
        <v>0.0</v>
      </c>
      <c r="K69" s="199">
        <v>0.00246167154489065</v>
      </c>
      <c r="L69" s="199">
        <v>-0.135795883506594</v>
      </c>
      <c r="M69" s="199">
        <v>0.0168880925198156</v>
      </c>
      <c r="N69" s="199">
        <v>-1.21845918591339</v>
      </c>
      <c r="O69" s="200">
        <v>0.0</v>
      </c>
      <c r="P69" s="200">
        <v>0.0</v>
      </c>
    </row>
    <row r="70" ht="15.75" customHeight="1">
      <c r="A70" s="196" t="str">
        <f t="shared" si="2"/>
        <v>MAMediumOffice-231</v>
      </c>
      <c r="B70" s="196">
        <v>-2.0</v>
      </c>
      <c r="C70" s="196">
        <v>3.0</v>
      </c>
      <c r="D70" s="196">
        <v>1.0</v>
      </c>
      <c r="E70" s="199">
        <v>0.211032131202841</v>
      </c>
      <c r="F70" s="199">
        <v>-13.0324983386037</v>
      </c>
      <c r="G70" s="199">
        <v>0.849939546950924</v>
      </c>
      <c r="H70" s="199">
        <v>-61.0221297005265</v>
      </c>
      <c r="I70" s="200">
        <v>0.0</v>
      </c>
      <c r="J70" s="200">
        <v>0.0</v>
      </c>
      <c r="K70" s="199">
        <v>0.00535615499004081</v>
      </c>
      <c r="L70" s="199">
        <v>-0.31785648601936</v>
      </c>
      <c r="M70" s="199">
        <v>0.0298464725022961</v>
      </c>
      <c r="N70" s="199">
        <v>-2.17536552154501</v>
      </c>
      <c r="O70" s="200">
        <v>0.0</v>
      </c>
      <c r="P70" s="200">
        <v>0.0</v>
      </c>
    </row>
    <row r="71" ht="15.75" customHeight="1">
      <c r="A71" s="196" t="str">
        <f t="shared" si="2"/>
        <v>MAMediumOffice-232</v>
      </c>
      <c r="B71" s="196">
        <v>-2.0</v>
      </c>
      <c r="C71" s="196">
        <v>3.0</v>
      </c>
      <c r="D71" s="196">
        <v>2.0</v>
      </c>
      <c r="E71" s="199">
        <v>0.220867418222029</v>
      </c>
      <c r="F71" s="199">
        <v>-13.1995072222511</v>
      </c>
      <c r="G71" s="199">
        <v>0.793227429061424</v>
      </c>
      <c r="H71" s="199">
        <v>-55.8102042398888</v>
      </c>
      <c r="I71" s="200">
        <v>0.0</v>
      </c>
      <c r="J71" s="200">
        <v>0.0</v>
      </c>
      <c r="K71" s="199">
        <v>0.00593363520094044</v>
      </c>
      <c r="L71" s="199">
        <v>-0.35164211281727</v>
      </c>
      <c r="M71" s="199">
        <v>0.0272749010820037</v>
      </c>
      <c r="N71" s="199">
        <v>-1.95633433791866</v>
      </c>
      <c r="O71" s="200">
        <v>0.0</v>
      </c>
      <c r="P71" s="200">
        <v>0.0</v>
      </c>
    </row>
    <row r="72" ht="15.75" customHeight="1">
      <c r="A72" s="196" t="str">
        <f t="shared" si="2"/>
        <v>MAMediumOffice-233</v>
      </c>
      <c r="B72" s="196">
        <v>-2.0</v>
      </c>
      <c r="C72" s="196">
        <v>3.0</v>
      </c>
      <c r="D72" s="196">
        <v>3.0</v>
      </c>
      <c r="E72" s="199">
        <v>0.237041885728001</v>
      </c>
      <c r="F72" s="199">
        <v>-13.91740498996</v>
      </c>
      <c r="G72" s="199">
        <v>0.805043936716394</v>
      </c>
      <c r="H72" s="199">
        <v>-56.3979137447872</v>
      </c>
      <c r="I72" s="200">
        <v>0.0</v>
      </c>
      <c r="J72" s="200">
        <v>0.0</v>
      </c>
      <c r="K72" s="199">
        <v>0.00666374791032196</v>
      </c>
      <c r="L72" s="199">
        <v>-0.386012718447471</v>
      </c>
      <c r="M72" s="199">
        <v>0.0282667702250447</v>
      </c>
      <c r="N72" s="199">
        <v>-2.01618458920521</v>
      </c>
      <c r="O72" s="200">
        <v>0.0</v>
      </c>
      <c r="P72" s="200">
        <v>0.0</v>
      </c>
    </row>
    <row r="73" ht="15.75" customHeight="1">
      <c r="A73" s="196" t="str">
        <f t="shared" si="2"/>
        <v>MAMediumOffice-234</v>
      </c>
      <c r="B73" s="196">
        <v>-2.0</v>
      </c>
      <c r="C73" s="196">
        <v>3.0</v>
      </c>
      <c r="D73" s="196">
        <v>4.0</v>
      </c>
      <c r="E73" s="199">
        <v>0.114184661414208</v>
      </c>
      <c r="F73" s="199">
        <v>-6.75614439563727</v>
      </c>
      <c r="G73" s="199">
        <v>0.619407411369888</v>
      </c>
      <c r="H73" s="199">
        <v>-43.9733341401827</v>
      </c>
      <c r="I73" s="200">
        <v>0.0</v>
      </c>
      <c r="J73" s="200">
        <v>0.0</v>
      </c>
      <c r="K73" s="199">
        <v>0.00255387952921694</v>
      </c>
      <c r="L73" s="199">
        <v>-0.141254292211497</v>
      </c>
      <c r="M73" s="199">
        <v>0.0193469960828612</v>
      </c>
      <c r="N73" s="199">
        <v>-1.401658453881</v>
      </c>
      <c r="O73" s="200">
        <v>0.0</v>
      </c>
      <c r="P73" s="200">
        <v>0.0</v>
      </c>
    </row>
    <row r="74" ht="15.75" customHeight="1">
      <c r="A74" s="196" t="str">
        <f t="shared" si="2"/>
        <v>MAMediumOffice-241</v>
      </c>
      <c r="B74" s="196">
        <v>-2.0</v>
      </c>
      <c r="C74" s="196">
        <v>4.0</v>
      </c>
      <c r="D74" s="196">
        <v>1.0</v>
      </c>
      <c r="E74" s="199">
        <v>0.211016988189144</v>
      </c>
      <c r="F74" s="199">
        <v>-13.0316044325638</v>
      </c>
      <c r="G74" s="199">
        <v>0.857178645113034</v>
      </c>
      <c r="H74" s="199">
        <v>-61.5801045458868</v>
      </c>
      <c r="I74" s="200">
        <v>0.0</v>
      </c>
      <c r="J74" s="200">
        <v>0.0</v>
      </c>
      <c r="K74" s="199">
        <v>0.00535580458443697</v>
      </c>
      <c r="L74" s="199">
        <v>-0.317835838256101</v>
      </c>
      <c r="M74" s="199">
        <v>0.0300858584093134</v>
      </c>
      <c r="N74" s="199">
        <v>-2.19386537343994</v>
      </c>
      <c r="O74" s="200">
        <v>0.0</v>
      </c>
      <c r="P74" s="200">
        <v>0.0</v>
      </c>
    </row>
    <row r="75" ht="15.75" customHeight="1">
      <c r="A75" s="196" t="str">
        <f t="shared" si="2"/>
        <v>MAMediumOffice-242</v>
      </c>
      <c r="B75" s="196">
        <v>-2.0</v>
      </c>
      <c r="C75" s="196">
        <v>4.0</v>
      </c>
      <c r="D75" s="196">
        <v>2.0</v>
      </c>
      <c r="E75" s="199">
        <v>0.220835962956904</v>
      </c>
      <c r="F75" s="199">
        <v>-13.1975787682441</v>
      </c>
      <c r="G75" s="199">
        <v>0.817999200642281</v>
      </c>
      <c r="H75" s="199">
        <v>-57.7175888798381</v>
      </c>
      <c r="I75" s="200">
        <v>0.0</v>
      </c>
      <c r="J75" s="200">
        <v>0.0</v>
      </c>
      <c r="K75" s="199">
        <v>0.00593279659265087</v>
      </c>
      <c r="L75" s="199">
        <v>-0.351590688613568</v>
      </c>
      <c r="M75" s="199">
        <v>0.0280922349717557</v>
      </c>
      <c r="N75" s="199">
        <v>-2.01938251222882</v>
      </c>
      <c r="O75" s="200">
        <v>0.0</v>
      </c>
      <c r="P75" s="200">
        <v>0.0</v>
      </c>
    </row>
    <row r="76" ht="15.75" customHeight="1">
      <c r="A76" s="196" t="str">
        <f t="shared" si="2"/>
        <v>MAMediumOffice-243</v>
      </c>
      <c r="B76" s="196">
        <v>-2.0</v>
      </c>
      <c r="C76" s="196">
        <v>4.0</v>
      </c>
      <c r="D76" s="196">
        <v>3.0</v>
      </c>
      <c r="E76" s="199">
        <v>0.237550774846876</v>
      </c>
      <c r="F76" s="199">
        <v>-13.9484894134552</v>
      </c>
      <c r="G76" s="199">
        <v>0.846095687297921</v>
      </c>
      <c r="H76" s="199">
        <v>-59.5116953269561</v>
      </c>
      <c r="I76" s="200">
        <v>0.0</v>
      </c>
      <c r="J76" s="200">
        <v>0.0</v>
      </c>
      <c r="K76" s="199">
        <v>0.00667733965177441</v>
      </c>
      <c r="L76" s="199">
        <v>-0.386842932109175</v>
      </c>
      <c r="M76" s="199">
        <v>0.029631829943338</v>
      </c>
      <c r="N76" s="199">
        <v>-2.1200097797922</v>
      </c>
      <c r="O76" s="200">
        <v>0.0</v>
      </c>
      <c r="P76" s="200">
        <v>0.0</v>
      </c>
    </row>
    <row r="77" ht="15.75" customHeight="1">
      <c r="A77" s="196" t="str">
        <f t="shared" si="2"/>
        <v>MAMediumOffice-244</v>
      </c>
      <c r="B77" s="196">
        <v>-2.0</v>
      </c>
      <c r="C77" s="196">
        <v>4.0</v>
      </c>
      <c r="D77" s="196">
        <v>4.0</v>
      </c>
      <c r="E77" s="199">
        <v>0.115001619043498</v>
      </c>
      <c r="F77" s="199">
        <v>-6.8053885290068</v>
      </c>
      <c r="G77" s="199">
        <v>0.679679682540191</v>
      </c>
      <c r="H77" s="199">
        <v>-48.4915303414824</v>
      </c>
      <c r="I77" s="200">
        <v>0.0</v>
      </c>
      <c r="J77" s="200">
        <v>0.0</v>
      </c>
      <c r="K77" s="199">
        <v>0.00257141483595225</v>
      </c>
      <c r="L77" s="199">
        <v>-0.142311280548244</v>
      </c>
      <c r="M77" s="199">
        <v>0.0210169216991691</v>
      </c>
      <c r="N77" s="199">
        <v>-1.52756882448368</v>
      </c>
      <c r="O77" s="200">
        <v>0.0</v>
      </c>
      <c r="P77" s="200">
        <v>0.0</v>
      </c>
    </row>
    <row r="78" ht="15.75" customHeight="1">
      <c r="A78" s="196" t="str">
        <f t="shared" si="2"/>
        <v>MAMediumOffice-251</v>
      </c>
      <c r="B78" s="196">
        <v>-2.0</v>
      </c>
      <c r="C78" s="196">
        <v>5.0</v>
      </c>
      <c r="D78" s="196">
        <v>1.0</v>
      </c>
      <c r="E78" s="199">
        <v>0.21101120066937</v>
      </c>
      <c r="F78" s="199">
        <v>-13.0312528994574</v>
      </c>
      <c r="G78" s="199">
        <v>0.857274854677639</v>
      </c>
      <c r="H78" s="199">
        <v>-61.5875628485175</v>
      </c>
      <c r="I78" s="200">
        <v>0.0</v>
      </c>
      <c r="J78" s="200">
        <v>0.0</v>
      </c>
      <c r="K78" s="199">
        <v>0.00535564403954925</v>
      </c>
      <c r="L78" s="199">
        <v>-0.317826075871347</v>
      </c>
      <c r="M78" s="199">
        <v>0.0300890073571961</v>
      </c>
      <c r="N78" s="199">
        <v>-2.19410955650488</v>
      </c>
      <c r="O78" s="200">
        <v>0.0</v>
      </c>
      <c r="P78" s="200">
        <v>0.0</v>
      </c>
    </row>
    <row r="79" ht="15.75" customHeight="1">
      <c r="A79" s="196" t="str">
        <f t="shared" si="2"/>
        <v>MAMediumOffice-252</v>
      </c>
      <c r="B79" s="196">
        <v>-2.0</v>
      </c>
      <c r="C79" s="196">
        <v>5.0</v>
      </c>
      <c r="D79" s="196">
        <v>2.0</v>
      </c>
      <c r="E79" s="199">
        <v>0.220842765351979</v>
      </c>
      <c r="F79" s="199">
        <v>-13.1979982452526</v>
      </c>
      <c r="G79" s="199">
        <v>0.818218805081192</v>
      </c>
      <c r="H79" s="199">
        <v>-57.7346128003235</v>
      </c>
      <c r="I79" s="200">
        <v>0.0</v>
      </c>
      <c r="J79" s="200">
        <v>0.0</v>
      </c>
      <c r="K79" s="199">
        <v>0.0059329940527531</v>
      </c>
      <c r="L79" s="199">
        <v>-0.351602852911578</v>
      </c>
      <c r="M79" s="199">
        <v>0.0280993235402212</v>
      </c>
      <c r="N79" s="199">
        <v>-2.01993263442837</v>
      </c>
      <c r="O79" s="200">
        <v>0.0</v>
      </c>
      <c r="P79" s="200">
        <v>0.0</v>
      </c>
    </row>
    <row r="80" ht="15.75" customHeight="1">
      <c r="A80" s="196" t="str">
        <f t="shared" si="2"/>
        <v>MAMediumOffice-253</v>
      </c>
      <c r="B80" s="196">
        <v>-2.0</v>
      </c>
      <c r="C80" s="196">
        <v>5.0</v>
      </c>
      <c r="D80" s="196">
        <v>3.0</v>
      </c>
      <c r="E80" s="199">
        <v>0.237559726574917</v>
      </c>
      <c r="F80" s="199">
        <v>-13.9490416373417</v>
      </c>
      <c r="G80" s="199">
        <v>0.851939896591098</v>
      </c>
      <c r="H80" s="199">
        <v>-59.957048114783</v>
      </c>
      <c r="I80" s="200">
        <v>0.0</v>
      </c>
      <c r="J80" s="200">
        <v>0.0</v>
      </c>
      <c r="K80" s="199">
        <v>0.00667760651273</v>
      </c>
      <c r="L80" s="199">
        <v>-0.386859383137888</v>
      </c>
      <c r="M80" s="199">
        <v>0.0298187357996368</v>
      </c>
      <c r="N80" s="199">
        <v>-2.13427168007056</v>
      </c>
      <c r="O80" s="200">
        <v>0.0</v>
      </c>
      <c r="P80" s="200">
        <v>0.0</v>
      </c>
    </row>
    <row r="81" ht="15.75" customHeight="1">
      <c r="A81" s="196" t="str">
        <f t="shared" si="2"/>
        <v>MAMediumOffice-254</v>
      </c>
      <c r="B81" s="196">
        <v>-2.0</v>
      </c>
      <c r="C81" s="196">
        <v>5.0</v>
      </c>
      <c r="D81" s="196">
        <v>4.0</v>
      </c>
      <c r="E81" s="199">
        <v>0.115036054589624</v>
      </c>
      <c r="F81" s="199">
        <v>-6.80748845585821</v>
      </c>
      <c r="G81" s="199">
        <v>0.725325455255786</v>
      </c>
      <c r="H81" s="199">
        <v>-52.0124246594161</v>
      </c>
      <c r="I81" s="200">
        <v>0.0</v>
      </c>
      <c r="J81" s="200">
        <v>0.0</v>
      </c>
      <c r="K81" s="199">
        <v>0.00257221238819874</v>
      </c>
      <c r="L81" s="199">
        <v>-0.14235990806359</v>
      </c>
      <c r="M81" s="199">
        <v>0.0222472994650727</v>
      </c>
      <c r="N81" s="199">
        <v>-1.62257550346963</v>
      </c>
      <c r="O81" s="200">
        <v>0.0</v>
      </c>
      <c r="P81" s="200">
        <v>0.0</v>
      </c>
    </row>
    <row r="82" ht="15.75" customHeight="1">
      <c r="A82" s="196" t="str">
        <f t="shared" si="2"/>
        <v>MAMediumOffice-261</v>
      </c>
      <c r="B82" s="196">
        <v>-2.0</v>
      </c>
      <c r="C82" s="196">
        <v>6.0</v>
      </c>
      <c r="D82" s="196">
        <v>1.0</v>
      </c>
      <c r="E82" s="199">
        <v>0.211034174267761</v>
      </c>
      <c r="F82" s="199">
        <v>-13.03255228518</v>
      </c>
      <c r="G82" s="199">
        <v>0.857276352434224</v>
      </c>
      <c r="H82" s="199">
        <v>-61.5877641547052</v>
      </c>
      <c r="I82" s="200">
        <v>0.0</v>
      </c>
      <c r="J82" s="200">
        <v>0.0</v>
      </c>
      <c r="K82" s="199">
        <v>0.00535621300877866</v>
      </c>
      <c r="L82" s="199">
        <v>-0.317858313805025</v>
      </c>
      <c r="M82" s="199">
        <v>0.0300890910743732</v>
      </c>
      <c r="N82" s="199">
        <v>-2.19411880798242</v>
      </c>
      <c r="O82" s="200">
        <v>0.0</v>
      </c>
      <c r="P82" s="200">
        <v>0.0</v>
      </c>
    </row>
    <row r="83" ht="15.75" customHeight="1">
      <c r="A83" s="196" t="str">
        <f t="shared" si="2"/>
        <v>MAMediumOffice-262</v>
      </c>
      <c r="B83" s="196">
        <v>-2.0</v>
      </c>
      <c r="C83" s="196">
        <v>6.0</v>
      </c>
      <c r="D83" s="196">
        <v>2.0</v>
      </c>
      <c r="E83" s="199">
        <v>0.220869045622544</v>
      </c>
      <c r="F83" s="199">
        <v>-13.1995299266128</v>
      </c>
      <c r="G83" s="199">
        <v>0.818244819436427</v>
      </c>
      <c r="H83" s="199">
        <v>-57.7363823143626</v>
      </c>
      <c r="I83" s="200">
        <v>0.0</v>
      </c>
      <c r="J83" s="200">
        <v>0.0</v>
      </c>
      <c r="K83" s="199">
        <v>0.00593364540813666</v>
      </c>
      <c r="L83" s="199">
        <v>-0.351640868526525</v>
      </c>
      <c r="M83" s="199">
        <v>0.028100148550562</v>
      </c>
      <c r="N83" s="199">
        <v>-2.01998915577149</v>
      </c>
      <c r="O83" s="200">
        <v>0.0</v>
      </c>
      <c r="P83" s="200">
        <v>0.0</v>
      </c>
    </row>
    <row r="84" ht="15.75" customHeight="1">
      <c r="A84" s="196" t="str">
        <f t="shared" si="2"/>
        <v>MAMediumOffice-263</v>
      </c>
      <c r="B84" s="196">
        <v>-2.0</v>
      </c>
      <c r="C84" s="196">
        <v>6.0</v>
      </c>
      <c r="D84" s="196">
        <v>3.0</v>
      </c>
      <c r="E84" s="199">
        <v>0.237599435721521</v>
      </c>
      <c r="F84" s="199">
        <v>-13.9514045846102</v>
      </c>
      <c r="G84" s="199">
        <v>0.852395178331301</v>
      </c>
      <c r="H84" s="199">
        <v>-59.9919083175572</v>
      </c>
      <c r="I84" s="200">
        <v>0.0</v>
      </c>
      <c r="J84" s="200">
        <v>0.0</v>
      </c>
      <c r="K84" s="199">
        <v>0.0066786637028179</v>
      </c>
      <c r="L84" s="199">
        <v>-0.386922354143897</v>
      </c>
      <c r="M84" s="199">
        <v>0.0298332233874559</v>
      </c>
      <c r="N84" s="199">
        <v>-2.13538096330103</v>
      </c>
      <c r="O84" s="200">
        <v>0.0</v>
      </c>
      <c r="P84" s="200">
        <v>0.0</v>
      </c>
    </row>
    <row r="85" ht="15.75" customHeight="1">
      <c r="A85" s="196" t="str">
        <f t="shared" si="2"/>
        <v>MAMediumOffice-264</v>
      </c>
      <c r="B85" s="196">
        <v>-2.0</v>
      </c>
      <c r="C85" s="196">
        <v>6.0</v>
      </c>
      <c r="D85" s="196">
        <v>4.0</v>
      </c>
      <c r="E85" s="199">
        <v>0.115069623793602</v>
      </c>
      <c r="F85" s="199">
        <v>-6.80940596236838</v>
      </c>
      <c r="G85" s="199">
        <v>0.737568951682254</v>
      </c>
      <c r="H85" s="199">
        <v>-52.9648208444703</v>
      </c>
      <c r="I85" s="200">
        <v>0.0</v>
      </c>
      <c r="J85" s="200">
        <v>0.0</v>
      </c>
      <c r="K85" s="199">
        <v>0.00257289668365029</v>
      </c>
      <c r="L85" s="199">
        <v>-0.142398962198611</v>
      </c>
      <c r="M85" s="199">
        <v>0.0225958963833291</v>
      </c>
      <c r="N85" s="199">
        <v>-1.64969800326481</v>
      </c>
      <c r="O85" s="200">
        <v>0.0</v>
      </c>
      <c r="P85" s="200">
        <v>0.0</v>
      </c>
    </row>
    <row r="86" ht="15.75" customHeight="1"/>
    <row r="87" ht="15.75" customHeight="1">
      <c r="A87" s="181"/>
      <c r="B87" s="201" t="s">
        <v>191</v>
      </c>
      <c r="C87" s="201" t="s">
        <v>204</v>
      </c>
      <c r="D87" s="201"/>
      <c r="E87" s="201" t="s">
        <v>193</v>
      </c>
      <c r="F87" s="201"/>
      <c r="G87" s="202" t="s">
        <v>194</v>
      </c>
      <c r="H87" s="193"/>
      <c r="I87" s="201" t="s">
        <v>195</v>
      </c>
      <c r="J87" s="201"/>
    </row>
    <row r="88" ht="15.75" customHeight="1">
      <c r="A88" s="181" t="s">
        <v>196</v>
      </c>
      <c r="B88" s="203" t="s">
        <v>205</v>
      </c>
      <c r="C88" s="203" t="s">
        <v>206</v>
      </c>
      <c r="D88" s="181" t="s">
        <v>199</v>
      </c>
      <c r="E88" s="181" t="s">
        <v>200</v>
      </c>
      <c r="F88" s="181" t="s">
        <v>201</v>
      </c>
      <c r="G88" s="181" t="s">
        <v>200</v>
      </c>
      <c r="H88" s="181" t="s">
        <v>201</v>
      </c>
      <c r="I88" s="181" t="s">
        <v>200</v>
      </c>
      <c r="J88" s="181" t="s">
        <v>201</v>
      </c>
    </row>
    <row r="89" ht="15.75" customHeight="1">
      <c r="A89" s="196" t="str">
        <f t="shared" ref="A89:A96" si="3">$B$87&amp;$C$2&amp;B89&amp;C89&amp;D89</f>
        <v>SmallOfficeMACycleYes1</v>
      </c>
      <c r="B89" s="204" t="s">
        <v>207</v>
      </c>
      <c r="C89" s="204" t="s">
        <v>24</v>
      </c>
      <c r="D89" s="181">
        <v>1.0</v>
      </c>
      <c r="E89" s="77">
        <v>0.756971470098918</v>
      </c>
      <c r="F89" s="77">
        <v>-34.8898750863928</v>
      </c>
      <c r="G89" s="77">
        <v>0.508209217356369</v>
      </c>
      <c r="H89" s="77">
        <v>-16.5582690830052</v>
      </c>
      <c r="I89" s="205">
        <v>0.0</v>
      </c>
      <c r="J89" s="205">
        <v>0.0</v>
      </c>
    </row>
    <row r="90" ht="15.75" customHeight="1">
      <c r="A90" s="196" t="str">
        <f t="shared" si="3"/>
        <v>SmallOfficeMACycleYes2</v>
      </c>
      <c r="B90" s="204" t="s">
        <v>207</v>
      </c>
      <c r="C90" s="204" t="s">
        <v>24</v>
      </c>
      <c r="D90" s="181">
        <v>2.0</v>
      </c>
      <c r="E90" s="77">
        <v>0.800362789718792</v>
      </c>
      <c r="F90" s="77">
        <v>-37.0221006355463</v>
      </c>
      <c r="G90" s="77">
        <v>0.532928250299873</v>
      </c>
      <c r="H90" s="77">
        <v>-17.9980643339457</v>
      </c>
      <c r="I90" s="205">
        <v>0.0</v>
      </c>
      <c r="J90" s="205">
        <v>0.0</v>
      </c>
    </row>
    <row r="91" ht="15.75" customHeight="1">
      <c r="A91" s="196" t="str">
        <f t="shared" si="3"/>
        <v>SmallOfficeMACycleYes3</v>
      </c>
      <c r="B91" s="204" t="s">
        <v>207</v>
      </c>
      <c r="C91" s="204" t="s">
        <v>24</v>
      </c>
      <c r="D91" s="181">
        <v>3.0</v>
      </c>
      <c r="E91" s="77">
        <v>0.738202935351256</v>
      </c>
      <c r="F91" s="77">
        <v>-32.2273290527223</v>
      </c>
      <c r="G91" s="77">
        <v>0.523861224053547</v>
      </c>
      <c r="H91" s="77">
        <v>-17.1630024083779</v>
      </c>
      <c r="I91" s="205">
        <v>0.0</v>
      </c>
      <c r="J91" s="205">
        <v>0.0</v>
      </c>
    </row>
    <row r="92" ht="15.75" customHeight="1">
      <c r="A92" s="196" t="str">
        <f t="shared" si="3"/>
        <v>SmallOfficeMACycleYes4</v>
      </c>
      <c r="B92" s="204" t="s">
        <v>207</v>
      </c>
      <c r="C92" s="204" t="s">
        <v>24</v>
      </c>
      <c r="D92" s="181">
        <v>4.0</v>
      </c>
      <c r="E92" s="77">
        <v>0.880219451625168</v>
      </c>
      <c r="F92" s="77">
        <v>-40.5622069675123</v>
      </c>
      <c r="G92" s="77">
        <v>0.0671252883560917</v>
      </c>
      <c r="H92" s="77">
        <v>21.111265389073</v>
      </c>
      <c r="I92" s="205">
        <v>0.0</v>
      </c>
      <c r="J92" s="205">
        <v>0.0</v>
      </c>
    </row>
    <row r="93" ht="15.75" customHeight="1">
      <c r="A93" s="196" t="str">
        <f t="shared" si="3"/>
        <v>SmallOfficeMACycleNo1</v>
      </c>
      <c r="B93" s="204" t="s">
        <v>207</v>
      </c>
      <c r="C93" s="204" t="s">
        <v>189</v>
      </c>
      <c r="D93" s="181">
        <v>1.0</v>
      </c>
      <c r="E93" s="77">
        <v>0.60836197423351</v>
      </c>
      <c r="F93" s="77">
        <v>-8.40814212052914</v>
      </c>
      <c r="G93" s="77">
        <v>0.408437008536378</v>
      </c>
      <c r="H93" s="77">
        <v>6.32458224177018</v>
      </c>
      <c r="I93" s="205">
        <v>0.0</v>
      </c>
      <c r="J93" s="205">
        <v>0.0</v>
      </c>
    </row>
    <row r="94" ht="15.75" customHeight="1">
      <c r="A94" s="196" t="str">
        <f t="shared" si="3"/>
        <v>SmallOfficeMACycleNo2</v>
      </c>
      <c r="B94" s="204" t="s">
        <v>207</v>
      </c>
      <c r="C94" s="204" t="s">
        <v>189</v>
      </c>
      <c r="D94" s="181">
        <v>2.0</v>
      </c>
      <c r="E94" s="77">
        <v>0.643234660868705</v>
      </c>
      <c r="F94" s="77">
        <v>-10.121766736295</v>
      </c>
      <c r="G94" s="77">
        <v>0.428303172951647</v>
      </c>
      <c r="H94" s="77">
        <v>5.16744922427382</v>
      </c>
      <c r="I94" s="205">
        <v>0.0</v>
      </c>
      <c r="J94" s="205">
        <v>0.0</v>
      </c>
    </row>
    <row r="95" ht="15.75" customHeight="1">
      <c r="A95" s="196" t="str">
        <f t="shared" si="3"/>
        <v>SmallOfficeMACycleNo3</v>
      </c>
      <c r="B95" s="204" t="s">
        <v>207</v>
      </c>
      <c r="C95" s="204" t="s">
        <v>189</v>
      </c>
      <c r="D95" s="181">
        <v>3.0</v>
      </c>
      <c r="E95" s="77">
        <v>0.593278099472593</v>
      </c>
      <c r="F95" s="77">
        <v>-6.26831013806379</v>
      </c>
      <c r="G95" s="77">
        <v>0.421016195561446</v>
      </c>
      <c r="H95" s="77">
        <v>5.83857084736351</v>
      </c>
      <c r="I95" s="205">
        <v>0.0</v>
      </c>
      <c r="J95" s="205">
        <v>0.0</v>
      </c>
    </row>
    <row r="96" ht="15.75" customHeight="1">
      <c r="A96" s="196" t="str">
        <f t="shared" si="3"/>
        <v>SmallOfficeMACycleNo4</v>
      </c>
      <c r="B96" s="204" t="s">
        <v>207</v>
      </c>
      <c r="C96" s="204" t="s">
        <v>189</v>
      </c>
      <c r="D96" s="181">
        <v>4.0</v>
      </c>
      <c r="E96" s="77">
        <v>0.591817746012063</v>
      </c>
      <c r="F96" s="77">
        <v>3.62035608084596</v>
      </c>
      <c r="G96" s="77">
        <v>-0.0382399946712377</v>
      </c>
      <c r="H96" s="77">
        <v>51.180895096972</v>
      </c>
      <c r="I96" s="205">
        <v>0.0</v>
      </c>
      <c r="J96" s="205">
        <v>0.0</v>
      </c>
    </row>
    <row r="97" ht="15.75" customHeight="1">
      <c r="A97" s="181"/>
      <c r="B97" s="201" t="s">
        <v>202</v>
      </c>
      <c r="C97" s="201"/>
      <c r="D97" s="201"/>
      <c r="E97" s="201" t="s">
        <v>193</v>
      </c>
      <c r="F97" s="201"/>
      <c r="G97" s="202" t="s">
        <v>194</v>
      </c>
      <c r="H97" s="193"/>
      <c r="I97" s="201" t="s">
        <v>195</v>
      </c>
      <c r="J97" s="201"/>
    </row>
    <row r="98" ht="15.75" customHeight="1">
      <c r="A98" s="181" t="s">
        <v>196</v>
      </c>
      <c r="B98" s="203" t="s">
        <v>205</v>
      </c>
      <c r="C98" s="203"/>
      <c r="D98" s="181" t="s">
        <v>203</v>
      </c>
      <c r="E98" s="181" t="s">
        <v>200</v>
      </c>
      <c r="F98" s="181" t="s">
        <v>201</v>
      </c>
      <c r="G98" s="181" t="s">
        <v>200</v>
      </c>
      <c r="H98" s="181" t="s">
        <v>201</v>
      </c>
      <c r="I98" s="181" t="s">
        <v>200</v>
      </c>
      <c r="J98" s="181" t="s">
        <v>201</v>
      </c>
    </row>
    <row r="99" ht="15.75" customHeight="1">
      <c r="A99" s="196" t="str">
        <f t="shared" ref="A99:A106" si="4">$B$97&amp;$C$2&amp;B99&amp;C99&amp;D99</f>
        <v>MediumOfficeMACycleYes1</v>
      </c>
      <c r="B99" s="204" t="s">
        <v>207</v>
      </c>
      <c r="C99" s="204" t="s">
        <v>24</v>
      </c>
      <c r="D99" s="181">
        <v>1.0</v>
      </c>
      <c r="E99" s="77">
        <v>1.23891055223366</v>
      </c>
      <c r="F99" s="77">
        <v>-64.9480952372356</v>
      </c>
      <c r="G99" s="77">
        <v>0.441837582429166</v>
      </c>
      <c r="H99" s="77">
        <v>-5.23815679410623</v>
      </c>
      <c r="I99" s="205">
        <v>0.0</v>
      </c>
      <c r="J99" s="205">
        <v>0.0</v>
      </c>
    </row>
    <row r="100" ht="15.75" customHeight="1">
      <c r="A100" s="196" t="str">
        <f t="shared" si="4"/>
        <v>MediumOfficeMACycleYes2</v>
      </c>
      <c r="B100" s="204" t="s">
        <v>207</v>
      </c>
      <c r="C100" s="204" t="s">
        <v>24</v>
      </c>
      <c r="D100" s="181">
        <v>2.0</v>
      </c>
      <c r="E100" s="77">
        <v>1.36734449927586</v>
      </c>
      <c r="F100" s="77">
        <v>-72.7078074563358</v>
      </c>
      <c r="G100" s="77">
        <v>0.480686925868941</v>
      </c>
      <c r="H100" s="77">
        <v>-7.50661260682401</v>
      </c>
      <c r="I100" s="205">
        <v>0.0</v>
      </c>
      <c r="J100" s="205">
        <v>0.0</v>
      </c>
    </row>
    <row r="101" ht="15.75" customHeight="1">
      <c r="A101" s="196" t="str">
        <f t="shared" si="4"/>
        <v>MediumOfficeMACycleYes3</v>
      </c>
      <c r="B101" s="204" t="s">
        <v>207</v>
      </c>
      <c r="C101" s="204" t="s">
        <v>24</v>
      </c>
      <c r="D101" s="181">
        <v>3.0</v>
      </c>
      <c r="E101" s="77">
        <v>1.28620558124558</v>
      </c>
      <c r="F101" s="77">
        <v>-66.9124868155218</v>
      </c>
      <c r="G101" s="77">
        <v>0.528283603684047</v>
      </c>
      <c r="H101" s="77">
        <v>-11.571201850348</v>
      </c>
      <c r="I101" s="205">
        <v>0.0</v>
      </c>
      <c r="J101" s="205">
        <v>0.0</v>
      </c>
    </row>
    <row r="102" ht="15.0" customHeight="1">
      <c r="A102" s="196" t="str">
        <f t="shared" si="4"/>
        <v>MediumOfficeMACycleYes4</v>
      </c>
      <c r="B102" s="204" t="s">
        <v>207</v>
      </c>
      <c r="C102" s="204" t="s">
        <v>24</v>
      </c>
      <c r="D102" s="181">
        <v>4.0</v>
      </c>
      <c r="E102" s="77">
        <v>1.20448099862918</v>
      </c>
      <c r="F102" s="77">
        <v>-60.8384937603844</v>
      </c>
      <c r="G102" s="77">
        <v>-0.429292738006523</v>
      </c>
      <c r="H102" s="77">
        <v>64.5515909359958</v>
      </c>
      <c r="I102" s="205">
        <v>0.0</v>
      </c>
      <c r="J102" s="205">
        <v>0.0</v>
      </c>
    </row>
    <row r="103" ht="15.0" customHeight="1">
      <c r="A103" s="196" t="str">
        <f t="shared" si="4"/>
        <v>MediumOfficeMACycleNo1</v>
      </c>
      <c r="B103" s="204" t="s">
        <v>207</v>
      </c>
      <c r="C103" s="204" t="s">
        <v>189</v>
      </c>
      <c r="D103" s="181">
        <v>1.0</v>
      </c>
      <c r="E103" s="77">
        <v>1.23891055223366</v>
      </c>
      <c r="F103" s="77">
        <v>-64.9480952372356</v>
      </c>
      <c r="G103" s="77">
        <v>0.441837582429166</v>
      </c>
      <c r="H103" s="77">
        <v>-5.23815679410623</v>
      </c>
      <c r="I103" s="205">
        <v>0.0</v>
      </c>
      <c r="J103" s="205">
        <v>0.0</v>
      </c>
    </row>
    <row r="104" ht="15.0" customHeight="1">
      <c r="A104" s="196" t="str">
        <f t="shared" si="4"/>
        <v>MediumOfficeMACycleNo2</v>
      </c>
      <c r="B104" s="204" t="s">
        <v>207</v>
      </c>
      <c r="C104" s="204" t="s">
        <v>189</v>
      </c>
      <c r="D104" s="181">
        <v>2.0</v>
      </c>
      <c r="E104" s="77">
        <v>1.36734449927586</v>
      </c>
      <c r="F104" s="77">
        <v>-72.7078074563358</v>
      </c>
      <c r="G104" s="77">
        <v>0.480686925868941</v>
      </c>
      <c r="H104" s="77">
        <v>-7.50661260682401</v>
      </c>
      <c r="I104" s="205">
        <v>0.0</v>
      </c>
      <c r="J104" s="205">
        <v>0.0</v>
      </c>
    </row>
    <row r="105" ht="15.0" customHeight="1">
      <c r="A105" s="196" t="str">
        <f t="shared" si="4"/>
        <v>MediumOfficeMACycleNo3</v>
      </c>
      <c r="B105" s="204" t="s">
        <v>207</v>
      </c>
      <c r="C105" s="204" t="s">
        <v>189</v>
      </c>
      <c r="D105" s="181">
        <v>3.0</v>
      </c>
      <c r="E105" s="77">
        <v>1.28620558124558</v>
      </c>
      <c r="F105" s="77">
        <v>-66.9124868155218</v>
      </c>
      <c r="G105" s="77">
        <v>0.528283603684047</v>
      </c>
      <c r="H105" s="77">
        <v>-11.571201850348</v>
      </c>
      <c r="I105" s="205">
        <v>0.0</v>
      </c>
      <c r="J105" s="205">
        <v>0.0</v>
      </c>
    </row>
    <row r="106" ht="15.0" customHeight="1">
      <c r="A106" s="196" t="str">
        <f t="shared" si="4"/>
        <v>MediumOfficeMACycleNo4</v>
      </c>
      <c r="B106" s="204" t="s">
        <v>207</v>
      </c>
      <c r="C106" s="204" t="s">
        <v>189</v>
      </c>
      <c r="D106" s="181">
        <v>4.0</v>
      </c>
      <c r="E106" s="77">
        <v>1.20448099862918</v>
      </c>
      <c r="F106" s="77">
        <v>-60.8384937603844</v>
      </c>
      <c r="G106" s="77">
        <v>-0.429292738006523</v>
      </c>
      <c r="H106" s="77">
        <v>64.5515909359958</v>
      </c>
      <c r="I106" s="205">
        <v>0.0</v>
      </c>
      <c r="J106" s="205">
        <v>0.0</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sheetData>
  <mergeCells count="7">
    <mergeCell ref="B1:J1"/>
    <mergeCell ref="G2:H2"/>
    <mergeCell ref="M2:N2"/>
    <mergeCell ref="G44:H44"/>
    <mergeCell ref="M44:N44"/>
    <mergeCell ref="G87:H87"/>
    <mergeCell ref="G97:H97"/>
  </mergeCells>
  <printOptions/>
  <pageMargins bottom="1.0" footer="0.0" header="0.0" left="0.75" right="0.75" top="1.0"/>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0"/>
    <col customWidth="1" min="2" max="2" width="21.44"/>
    <col customWidth="1" min="3" max="3" width="13.67"/>
    <col customWidth="1" min="4" max="26" width="11.0"/>
  </cols>
  <sheetData>
    <row r="1" ht="15.75" customHeight="1">
      <c r="A1" s="206" t="s">
        <v>208</v>
      </c>
      <c r="B1" s="207" t="s">
        <v>209</v>
      </c>
      <c r="C1" s="207" t="s">
        <v>210</v>
      </c>
      <c r="D1" s="207" t="s">
        <v>211</v>
      </c>
      <c r="E1" s="208" t="s">
        <v>212</v>
      </c>
    </row>
    <row r="2" ht="15.75" customHeight="1">
      <c r="A2" s="209">
        <v>2351.0</v>
      </c>
      <c r="B2" s="196" t="s">
        <v>213</v>
      </c>
      <c r="C2" s="210" t="s">
        <v>214</v>
      </c>
      <c r="D2" s="196" t="s">
        <v>215</v>
      </c>
    </row>
    <row r="3" ht="15.75" customHeight="1">
      <c r="A3" s="209">
        <v>2018.0</v>
      </c>
      <c r="B3" s="196" t="s">
        <v>213</v>
      </c>
      <c r="C3" s="210" t="s">
        <v>214</v>
      </c>
      <c r="D3" s="196" t="s">
        <v>215</v>
      </c>
    </row>
    <row r="4" ht="15.75" customHeight="1">
      <c r="A4" s="209">
        <v>1720.0</v>
      </c>
      <c r="B4" s="196" t="s">
        <v>216</v>
      </c>
      <c r="C4" s="210" t="s">
        <v>214</v>
      </c>
      <c r="D4" s="196" t="s">
        <v>215</v>
      </c>
    </row>
    <row r="5" ht="15.75" customHeight="1">
      <c r="A5" s="209">
        <v>2743.0</v>
      </c>
      <c r="B5" s="196" t="s">
        <v>217</v>
      </c>
      <c r="C5" s="210" t="s">
        <v>214</v>
      </c>
      <c r="D5" s="196" t="s">
        <v>215</v>
      </c>
    </row>
    <row r="6" ht="15.75" customHeight="1">
      <c r="A6" s="209">
        <v>1220.0</v>
      </c>
      <c r="B6" s="196" t="s">
        <v>218</v>
      </c>
      <c r="C6" s="210" t="s">
        <v>214</v>
      </c>
      <c r="D6" s="196" t="s">
        <v>215</v>
      </c>
    </row>
    <row r="7" ht="15.75" customHeight="1">
      <c r="A7" s="209">
        <v>1001.0</v>
      </c>
      <c r="B7" s="196" t="s">
        <v>219</v>
      </c>
      <c r="C7" s="210" t="s">
        <v>214</v>
      </c>
      <c r="D7" s="196" t="s">
        <v>215</v>
      </c>
    </row>
    <row r="8" ht="15.75" customHeight="1">
      <c r="A8" s="209">
        <v>2134.0</v>
      </c>
      <c r="B8" s="196" t="s">
        <v>220</v>
      </c>
      <c r="C8" s="210" t="s">
        <v>214</v>
      </c>
      <c r="D8" s="196" t="s">
        <v>215</v>
      </c>
    </row>
    <row r="9" ht="15.75" customHeight="1">
      <c r="A9" s="209">
        <v>1913.0</v>
      </c>
      <c r="B9" s="196" t="s">
        <v>221</v>
      </c>
      <c r="C9" s="210" t="s">
        <v>214</v>
      </c>
      <c r="D9" s="196" t="s">
        <v>215</v>
      </c>
    </row>
    <row r="10" ht="15.75" customHeight="1">
      <c r="A10" s="209">
        <v>1002.0</v>
      </c>
      <c r="B10" s="196" t="s">
        <v>222</v>
      </c>
      <c r="C10" s="210" t="s">
        <v>214</v>
      </c>
      <c r="D10" s="196" t="s">
        <v>215</v>
      </c>
    </row>
    <row r="11" ht="15.75" customHeight="1">
      <c r="A11" s="209">
        <v>1003.0</v>
      </c>
      <c r="B11" s="196" t="s">
        <v>222</v>
      </c>
      <c r="C11" s="210" t="s">
        <v>214</v>
      </c>
      <c r="D11" s="196" t="s">
        <v>215</v>
      </c>
    </row>
    <row r="12" ht="15.75" customHeight="1">
      <c r="A12" s="209">
        <v>1004.0</v>
      </c>
      <c r="B12" s="196" t="s">
        <v>222</v>
      </c>
      <c r="C12" s="210" t="s">
        <v>214</v>
      </c>
      <c r="D12" s="196" t="s">
        <v>215</v>
      </c>
    </row>
    <row r="13" ht="15.75" customHeight="1">
      <c r="A13" s="209">
        <v>1810.0</v>
      </c>
      <c r="B13" s="196" t="s">
        <v>221</v>
      </c>
      <c r="C13" s="210" t="s">
        <v>214</v>
      </c>
      <c r="D13" s="196" t="s">
        <v>215</v>
      </c>
    </row>
    <row r="14" ht="15.75" customHeight="1">
      <c r="A14" s="209">
        <v>1812.0</v>
      </c>
      <c r="B14" s="196" t="s">
        <v>221</v>
      </c>
      <c r="C14" s="210" t="s">
        <v>214</v>
      </c>
      <c r="D14" s="196" t="s">
        <v>215</v>
      </c>
    </row>
    <row r="15" ht="15.75" customHeight="1">
      <c r="A15" s="209">
        <v>2474.0</v>
      </c>
      <c r="B15" s="196" t="s">
        <v>216</v>
      </c>
      <c r="C15" s="210" t="s">
        <v>214</v>
      </c>
      <c r="D15" s="196" t="s">
        <v>215</v>
      </c>
    </row>
    <row r="16" ht="15.75" customHeight="1">
      <c r="A16" s="209">
        <v>2476.0</v>
      </c>
      <c r="B16" s="196" t="s">
        <v>216</v>
      </c>
      <c r="C16" s="210" t="s">
        <v>214</v>
      </c>
      <c r="D16" s="196" t="s">
        <v>215</v>
      </c>
    </row>
    <row r="17" ht="15.75" customHeight="1">
      <c r="A17" s="209">
        <v>2475.0</v>
      </c>
      <c r="B17" s="196" t="s">
        <v>216</v>
      </c>
      <c r="C17" s="210" t="s">
        <v>214</v>
      </c>
      <c r="D17" s="196" t="s">
        <v>215</v>
      </c>
    </row>
    <row r="18" ht="15.75" customHeight="1">
      <c r="A18" s="209">
        <v>1430.0</v>
      </c>
      <c r="B18" s="196" t="s">
        <v>223</v>
      </c>
      <c r="C18" s="210" t="s">
        <v>214</v>
      </c>
      <c r="D18" s="196" t="s">
        <v>215</v>
      </c>
    </row>
    <row r="19" ht="15.75" customHeight="1">
      <c r="A19" s="209">
        <v>1431.0</v>
      </c>
      <c r="B19" s="196" t="s">
        <v>216</v>
      </c>
      <c r="C19" s="210" t="s">
        <v>214</v>
      </c>
      <c r="D19" s="196" t="s">
        <v>215</v>
      </c>
    </row>
    <row r="20" ht="15.75" customHeight="1">
      <c r="A20" s="209">
        <v>1330.0</v>
      </c>
      <c r="B20" s="196" t="s">
        <v>224</v>
      </c>
      <c r="C20" s="210" t="s">
        <v>214</v>
      </c>
      <c r="D20" s="196" t="s">
        <v>215</v>
      </c>
    </row>
    <row r="21" ht="15.75" customHeight="1">
      <c r="A21" s="209">
        <v>1721.0</v>
      </c>
      <c r="B21" s="196" t="s">
        <v>216</v>
      </c>
      <c r="C21" s="210" t="s">
        <v>214</v>
      </c>
      <c r="D21" s="196" t="s">
        <v>215</v>
      </c>
    </row>
    <row r="22" ht="15.75" customHeight="1">
      <c r="A22" s="209">
        <v>1222.0</v>
      </c>
      <c r="B22" s="196" t="s">
        <v>218</v>
      </c>
      <c r="C22" s="210" t="s">
        <v>214</v>
      </c>
      <c r="D22" s="196" t="s">
        <v>215</v>
      </c>
    </row>
    <row r="23" ht="15.75" customHeight="1">
      <c r="A23" s="209">
        <v>2702.0</v>
      </c>
      <c r="B23" s="196" t="s">
        <v>217</v>
      </c>
      <c r="C23" s="210" t="s">
        <v>214</v>
      </c>
      <c r="D23" s="196" t="s">
        <v>215</v>
      </c>
    </row>
    <row r="24" ht="15.75" customHeight="1">
      <c r="A24" s="209">
        <v>1331.0</v>
      </c>
      <c r="B24" s="196" t="s">
        <v>223</v>
      </c>
      <c r="C24" s="210" t="s">
        <v>214</v>
      </c>
      <c r="D24" s="196" t="s">
        <v>215</v>
      </c>
    </row>
    <row r="25" ht="15.75" customHeight="1">
      <c r="A25" s="209">
        <v>2703.0</v>
      </c>
      <c r="B25" s="196" t="s">
        <v>217</v>
      </c>
      <c r="C25" s="210" t="s">
        <v>214</v>
      </c>
      <c r="D25" s="196" t="s">
        <v>215</v>
      </c>
    </row>
    <row r="26" ht="15.75" customHeight="1">
      <c r="A26" s="209">
        <v>2763.0</v>
      </c>
      <c r="B26" s="196" t="s">
        <v>217</v>
      </c>
      <c r="C26" s="210" t="s">
        <v>214</v>
      </c>
      <c r="D26" s="196" t="s">
        <v>215</v>
      </c>
    </row>
    <row r="27" ht="15.75" customHeight="1">
      <c r="A27" s="209">
        <v>1501.0</v>
      </c>
      <c r="B27" s="196" t="s">
        <v>223</v>
      </c>
      <c r="C27" s="210" t="s">
        <v>214</v>
      </c>
      <c r="D27" s="196" t="s">
        <v>215</v>
      </c>
    </row>
    <row r="28" ht="15.75" customHeight="1">
      <c r="A28" s="209">
        <v>2466.0</v>
      </c>
      <c r="B28" s="196" t="s">
        <v>216</v>
      </c>
      <c r="C28" s="210" t="s">
        <v>214</v>
      </c>
      <c r="D28" s="196" t="s">
        <v>215</v>
      </c>
    </row>
    <row r="29" ht="15.75" customHeight="1">
      <c r="A29" s="209">
        <v>2322.0</v>
      </c>
      <c r="B29" s="196" t="s">
        <v>225</v>
      </c>
      <c r="C29" s="210" t="s">
        <v>214</v>
      </c>
      <c r="D29" s="196" t="s">
        <v>215</v>
      </c>
    </row>
    <row r="30" ht="15.75" customHeight="1">
      <c r="A30" s="209">
        <v>1432.0</v>
      </c>
      <c r="B30" s="196" t="s">
        <v>216</v>
      </c>
      <c r="C30" s="210" t="s">
        <v>214</v>
      </c>
      <c r="D30" s="196" t="s">
        <v>215</v>
      </c>
    </row>
    <row r="31" ht="15.75" customHeight="1">
      <c r="A31" s="209">
        <v>2457.0</v>
      </c>
      <c r="B31" s="196" t="s">
        <v>225</v>
      </c>
      <c r="C31" s="210" t="s">
        <v>214</v>
      </c>
      <c r="D31" s="196" t="s">
        <v>215</v>
      </c>
    </row>
    <row r="32" ht="15.75" customHeight="1">
      <c r="A32" s="209">
        <v>1436.0</v>
      </c>
      <c r="B32" s="196" t="s">
        <v>223</v>
      </c>
      <c r="C32" s="210" t="s">
        <v>214</v>
      </c>
      <c r="D32" s="196" t="s">
        <v>215</v>
      </c>
    </row>
    <row r="33" ht="15.75" customHeight="1">
      <c r="A33" s="209">
        <v>2630.0</v>
      </c>
      <c r="B33" s="196" t="s">
        <v>226</v>
      </c>
      <c r="C33" s="210" t="s">
        <v>214</v>
      </c>
      <c r="D33" s="196" t="s">
        <v>215</v>
      </c>
    </row>
    <row r="34" ht="15.75" customHeight="1">
      <c r="A34" s="209">
        <v>1005.0</v>
      </c>
      <c r="B34" s="196" t="s">
        <v>223</v>
      </c>
      <c r="C34" s="210" t="s">
        <v>214</v>
      </c>
      <c r="D34" s="196" t="s">
        <v>215</v>
      </c>
    </row>
    <row r="35" ht="15.75" customHeight="1">
      <c r="A35" s="209">
        <v>1223.0</v>
      </c>
      <c r="B35" s="196" t="s">
        <v>218</v>
      </c>
      <c r="C35" s="210" t="s">
        <v>214</v>
      </c>
      <c r="D35" s="196" t="s">
        <v>215</v>
      </c>
    </row>
    <row r="36" ht="15.75" customHeight="1">
      <c r="A36" s="209">
        <v>1730.0</v>
      </c>
      <c r="B36" s="196" t="s">
        <v>216</v>
      </c>
      <c r="C36" s="210" t="s">
        <v>214</v>
      </c>
      <c r="D36" s="196" t="s">
        <v>215</v>
      </c>
    </row>
    <row r="37" ht="15.75" customHeight="1">
      <c r="A37" s="209">
        <v>1007.0</v>
      </c>
      <c r="B37" s="196" t="s">
        <v>222</v>
      </c>
      <c r="C37" s="210" t="s">
        <v>214</v>
      </c>
      <c r="D37" s="196" t="s">
        <v>215</v>
      </c>
    </row>
    <row r="38" ht="15.75" customHeight="1">
      <c r="A38" s="209">
        <v>2019.0</v>
      </c>
      <c r="B38" s="196" t="s">
        <v>225</v>
      </c>
      <c r="C38" s="210" t="s">
        <v>214</v>
      </c>
      <c r="D38" s="196" t="s">
        <v>215</v>
      </c>
    </row>
    <row r="39" ht="15.75" customHeight="1">
      <c r="A39" s="209">
        <v>2478.0</v>
      </c>
      <c r="B39" s="196" t="s">
        <v>216</v>
      </c>
      <c r="C39" s="210" t="s">
        <v>214</v>
      </c>
      <c r="D39" s="196" t="s">
        <v>215</v>
      </c>
    </row>
    <row r="40" ht="15.75" customHeight="1">
      <c r="A40" s="209">
        <v>2779.0</v>
      </c>
      <c r="B40" s="196" t="s">
        <v>217</v>
      </c>
      <c r="C40" s="210" t="s">
        <v>214</v>
      </c>
      <c r="D40" s="196" t="s">
        <v>215</v>
      </c>
    </row>
    <row r="41" ht="15.75" customHeight="1">
      <c r="A41" s="209">
        <v>1224.0</v>
      </c>
      <c r="B41" s="196" t="s">
        <v>218</v>
      </c>
      <c r="C41" s="210" t="s">
        <v>214</v>
      </c>
      <c r="D41" s="196" t="s">
        <v>215</v>
      </c>
    </row>
    <row r="42" ht="15.75" customHeight="1">
      <c r="A42" s="209">
        <v>1503.0</v>
      </c>
      <c r="B42" s="196" t="s">
        <v>223</v>
      </c>
      <c r="C42" s="210" t="s">
        <v>214</v>
      </c>
      <c r="D42" s="196" t="s">
        <v>215</v>
      </c>
    </row>
    <row r="43" ht="15.75" customHeight="1">
      <c r="A43" s="209">
        <v>1337.0</v>
      </c>
      <c r="B43" s="196" t="s">
        <v>224</v>
      </c>
      <c r="C43" s="210" t="s">
        <v>214</v>
      </c>
      <c r="D43" s="196" t="s">
        <v>215</v>
      </c>
    </row>
    <row r="44" ht="15.75" customHeight="1">
      <c r="A44" s="209">
        <v>1915.0</v>
      </c>
      <c r="B44" s="196" t="s">
        <v>221</v>
      </c>
      <c r="C44" s="210" t="s">
        <v>214</v>
      </c>
      <c r="D44" s="196" t="s">
        <v>215</v>
      </c>
    </row>
    <row r="45" ht="15.75" customHeight="1">
      <c r="A45" s="209">
        <v>1821.0</v>
      </c>
      <c r="B45" s="196" t="s">
        <v>216</v>
      </c>
      <c r="C45" s="210" t="s">
        <v>214</v>
      </c>
      <c r="D45" s="196" t="s">
        <v>215</v>
      </c>
    </row>
    <row r="46" ht="15.75" customHeight="1">
      <c r="A46" s="209">
        <v>1504.0</v>
      </c>
      <c r="B46" s="196" t="s">
        <v>223</v>
      </c>
      <c r="C46" s="210" t="s">
        <v>214</v>
      </c>
      <c r="D46" s="196" t="s">
        <v>215</v>
      </c>
    </row>
    <row r="47" ht="15.75" customHeight="1">
      <c r="A47" s="209">
        <v>1008.0</v>
      </c>
      <c r="B47" s="196" t="s">
        <v>219</v>
      </c>
      <c r="C47" s="210" t="s">
        <v>214</v>
      </c>
      <c r="D47" s="196" t="s">
        <v>215</v>
      </c>
    </row>
    <row r="48" ht="15.75" customHeight="1">
      <c r="A48" s="209">
        <v>1740.0</v>
      </c>
      <c r="B48" s="196" t="s">
        <v>223</v>
      </c>
      <c r="C48" s="210" t="s">
        <v>214</v>
      </c>
      <c r="D48" s="196" t="s">
        <v>215</v>
      </c>
    </row>
    <row r="49" ht="15.75" customHeight="1">
      <c r="A49" s="209">
        <v>1009.0</v>
      </c>
      <c r="B49" s="196" t="s">
        <v>219</v>
      </c>
      <c r="C49" s="210" t="s">
        <v>214</v>
      </c>
      <c r="D49" s="196" t="s">
        <v>215</v>
      </c>
    </row>
    <row r="50" ht="15.75" customHeight="1">
      <c r="A50" s="209">
        <v>2108.0</v>
      </c>
      <c r="B50" s="196" t="s">
        <v>220</v>
      </c>
      <c r="C50" s="210" t="s">
        <v>214</v>
      </c>
      <c r="D50" s="196" t="s">
        <v>215</v>
      </c>
    </row>
    <row r="51" ht="15.75" customHeight="1">
      <c r="A51" s="209">
        <v>2109.0</v>
      </c>
      <c r="B51" s="196" t="s">
        <v>220</v>
      </c>
      <c r="C51" s="210" t="s">
        <v>214</v>
      </c>
      <c r="D51" s="196" t="s">
        <v>215</v>
      </c>
    </row>
    <row r="52" ht="15.75" customHeight="1">
      <c r="A52" s="209">
        <v>2110.0</v>
      </c>
      <c r="B52" s="196" t="s">
        <v>220</v>
      </c>
      <c r="C52" s="210" t="s">
        <v>214</v>
      </c>
      <c r="D52" s="196" t="s">
        <v>215</v>
      </c>
    </row>
    <row r="53" ht="15.75" customHeight="1">
      <c r="A53" s="209">
        <v>2111.0</v>
      </c>
      <c r="B53" s="196" t="s">
        <v>220</v>
      </c>
      <c r="C53" s="210" t="s">
        <v>214</v>
      </c>
      <c r="D53" s="196" t="s">
        <v>215</v>
      </c>
    </row>
    <row r="54" ht="15.75" customHeight="1">
      <c r="A54" s="209">
        <v>2112.0</v>
      </c>
      <c r="B54" s="196" t="s">
        <v>220</v>
      </c>
      <c r="C54" s="210" t="s">
        <v>214</v>
      </c>
      <c r="D54" s="196" t="s">
        <v>215</v>
      </c>
    </row>
    <row r="55" ht="15.75" customHeight="1">
      <c r="A55" s="209">
        <v>2113.0</v>
      </c>
      <c r="B55" s="196" t="s">
        <v>220</v>
      </c>
      <c r="C55" s="210" t="s">
        <v>214</v>
      </c>
      <c r="D55" s="196" t="s">
        <v>215</v>
      </c>
    </row>
    <row r="56" ht="15.75" customHeight="1">
      <c r="A56" s="209">
        <v>2114.0</v>
      </c>
      <c r="B56" s="196" t="s">
        <v>220</v>
      </c>
      <c r="C56" s="210" t="s">
        <v>214</v>
      </c>
      <c r="D56" s="196" t="s">
        <v>215</v>
      </c>
    </row>
    <row r="57" ht="15.75" customHeight="1">
      <c r="A57" s="209">
        <v>2115.0</v>
      </c>
      <c r="B57" s="196" t="s">
        <v>220</v>
      </c>
      <c r="C57" s="210" t="s">
        <v>214</v>
      </c>
      <c r="D57" s="196" t="s">
        <v>215</v>
      </c>
    </row>
    <row r="58" ht="15.75" customHeight="1">
      <c r="A58" s="209">
        <v>2116.0</v>
      </c>
      <c r="B58" s="196" t="s">
        <v>220</v>
      </c>
      <c r="C58" s="210" t="s">
        <v>214</v>
      </c>
      <c r="D58" s="196" t="s">
        <v>215</v>
      </c>
    </row>
    <row r="59" ht="15.75" customHeight="1">
      <c r="A59" s="209">
        <v>2117.0</v>
      </c>
      <c r="B59" s="196" t="s">
        <v>220</v>
      </c>
      <c r="C59" s="210" t="s">
        <v>214</v>
      </c>
      <c r="D59" s="196" t="s">
        <v>215</v>
      </c>
    </row>
    <row r="60" ht="15.75" customHeight="1">
      <c r="A60" s="209">
        <v>2118.0</v>
      </c>
      <c r="B60" s="196" t="s">
        <v>220</v>
      </c>
      <c r="C60" s="210" t="s">
        <v>214</v>
      </c>
      <c r="D60" s="196" t="s">
        <v>215</v>
      </c>
    </row>
    <row r="61" ht="15.75" customHeight="1">
      <c r="A61" s="209">
        <v>2123.0</v>
      </c>
      <c r="B61" s="196" t="s">
        <v>220</v>
      </c>
      <c r="C61" s="210" t="s">
        <v>214</v>
      </c>
      <c r="D61" s="196" t="s">
        <v>215</v>
      </c>
    </row>
    <row r="62" ht="15.75" customHeight="1">
      <c r="A62" s="209">
        <v>2127.0</v>
      </c>
      <c r="B62" s="196" t="s">
        <v>220</v>
      </c>
      <c r="C62" s="210" t="s">
        <v>214</v>
      </c>
      <c r="D62" s="196" t="s">
        <v>215</v>
      </c>
    </row>
    <row r="63" ht="15.75" customHeight="1">
      <c r="A63" s="209">
        <v>2128.0</v>
      </c>
      <c r="B63" s="196" t="s">
        <v>220</v>
      </c>
      <c r="C63" s="210" t="s">
        <v>214</v>
      </c>
      <c r="D63" s="196" t="s">
        <v>215</v>
      </c>
    </row>
    <row r="64" ht="15.75" customHeight="1">
      <c r="A64" s="209">
        <v>2133.0</v>
      </c>
      <c r="B64" s="196" t="s">
        <v>220</v>
      </c>
      <c r="C64" s="210" t="s">
        <v>214</v>
      </c>
      <c r="D64" s="196" t="s">
        <v>215</v>
      </c>
    </row>
    <row r="65" ht="15.75" customHeight="1">
      <c r="A65" s="209">
        <v>2163.0</v>
      </c>
      <c r="B65" s="196" t="s">
        <v>220</v>
      </c>
      <c r="C65" s="210" t="s">
        <v>214</v>
      </c>
      <c r="D65" s="196" t="s">
        <v>215</v>
      </c>
    </row>
    <row r="66" ht="15.75" customHeight="1">
      <c r="A66" s="209">
        <v>2196.0</v>
      </c>
      <c r="B66" s="196" t="s">
        <v>220</v>
      </c>
      <c r="C66" s="210" t="s">
        <v>214</v>
      </c>
      <c r="D66" s="196" t="s">
        <v>215</v>
      </c>
    </row>
    <row r="67" ht="15.75" customHeight="1">
      <c r="A67" s="209">
        <v>2199.0</v>
      </c>
      <c r="B67" s="196" t="s">
        <v>220</v>
      </c>
      <c r="C67" s="210" t="s">
        <v>214</v>
      </c>
      <c r="D67" s="196" t="s">
        <v>215</v>
      </c>
    </row>
    <row r="68" ht="15.75" customHeight="1">
      <c r="A68" s="209">
        <v>2201.0</v>
      </c>
      <c r="B68" s="196" t="s">
        <v>220</v>
      </c>
      <c r="C68" s="210" t="s">
        <v>214</v>
      </c>
      <c r="D68" s="196" t="s">
        <v>215</v>
      </c>
    </row>
    <row r="69" ht="15.75" customHeight="1">
      <c r="A69" s="209">
        <v>2203.0</v>
      </c>
      <c r="B69" s="196" t="s">
        <v>220</v>
      </c>
      <c r="C69" s="210" t="s">
        <v>214</v>
      </c>
      <c r="D69" s="196" t="s">
        <v>215</v>
      </c>
    </row>
    <row r="70" ht="15.75" customHeight="1">
      <c r="A70" s="209">
        <v>2205.0</v>
      </c>
      <c r="B70" s="196" t="s">
        <v>220</v>
      </c>
      <c r="C70" s="210" t="s">
        <v>214</v>
      </c>
      <c r="D70" s="196" t="s">
        <v>215</v>
      </c>
    </row>
    <row r="71" ht="15.75" customHeight="1">
      <c r="A71" s="209">
        <v>2210.0</v>
      </c>
      <c r="B71" s="196" t="s">
        <v>220</v>
      </c>
      <c r="C71" s="210" t="s">
        <v>214</v>
      </c>
      <c r="D71" s="196" t="s">
        <v>215</v>
      </c>
    </row>
    <row r="72" ht="15.75" customHeight="1">
      <c r="A72" s="209">
        <v>2211.0</v>
      </c>
      <c r="B72" s="196" t="s">
        <v>220</v>
      </c>
      <c r="C72" s="210" t="s">
        <v>214</v>
      </c>
      <c r="D72" s="196" t="s">
        <v>215</v>
      </c>
    </row>
    <row r="73" ht="15.75" customHeight="1">
      <c r="A73" s="209">
        <v>2212.0</v>
      </c>
      <c r="B73" s="196" t="s">
        <v>220</v>
      </c>
      <c r="C73" s="210" t="s">
        <v>214</v>
      </c>
      <c r="D73" s="196" t="s">
        <v>215</v>
      </c>
    </row>
    <row r="74" ht="15.75" customHeight="1">
      <c r="A74" s="209">
        <v>2215.0</v>
      </c>
      <c r="B74" s="196" t="s">
        <v>220</v>
      </c>
      <c r="C74" s="210" t="s">
        <v>214</v>
      </c>
      <c r="D74" s="196" t="s">
        <v>215</v>
      </c>
    </row>
    <row r="75" ht="15.75" customHeight="1">
      <c r="A75" s="209">
        <v>2217.0</v>
      </c>
      <c r="B75" s="196" t="s">
        <v>220</v>
      </c>
      <c r="C75" s="210" t="s">
        <v>214</v>
      </c>
      <c r="D75" s="196" t="s">
        <v>215</v>
      </c>
    </row>
    <row r="76" ht="15.75" customHeight="1">
      <c r="A76" s="209">
        <v>2222.0</v>
      </c>
      <c r="B76" s="196" t="s">
        <v>220</v>
      </c>
      <c r="C76" s="210" t="s">
        <v>214</v>
      </c>
      <c r="D76" s="196" t="s">
        <v>215</v>
      </c>
    </row>
    <row r="77" ht="15.75" customHeight="1">
      <c r="A77" s="209">
        <v>2241.0</v>
      </c>
      <c r="B77" s="196" t="s">
        <v>220</v>
      </c>
      <c r="C77" s="210" t="s">
        <v>214</v>
      </c>
      <c r="D77" s="196" t="s">
        <v>215</v>
      </c>
    </row>
    <row r="78" ht="15.75" customHeight="1">
      <c r="A78" s="209">
        <v>2283.0</v>
      </c>
      <c r="B78" s="196" t="s">
        <v>220</v>
      </c>
      <c r="C78" s="210" t="s">
        <v>214</v>
      </c>
      <c r="D78" s="196" t="s">
        <v>215</v>
      </c>
    </row>
    <row r="79" ht="15.75" customHeight="1">
      <c r="A79" s="209">
        <v>2297.0</v>
      </c>
      <c r="B79" s="196" t="s">
        <v>220</v>
      </c>
      <c r="C79" s="210" t="s">
        <v>214</v>
      </c>
      <c r="D79" s="196" t="s">
        <v>215</v>
      </c>
    </row>
    <row r="80" ht="15.75" customHeight="1">
      <c r="A80" s="209">
        <v>1719.0</v>
      </c>
      <c r="B80" s="196" t="s">
        <v>216</v>
      </c>
      <c r="C80" s="210" t="s">
        <v>214</v>
      </c>
      <c r="D80" s="196" t="s">
        <v>215</v>
      </c>
    </row>
    <row r="81" ht="15.75" customHeight="1">
      <c r="A81" s="209">
        <v>1921.0</v>
      </c>
      <c r="B81" s="196" t="s">
        <v>221</v>
      </c>
      <c r="C81" s="210" t="s">
        <v>214</v>
      </c>
      <c r="D81" s="196" t="s">
        <v>215</v>
      </c>
    </row>
    <row r="82" ht="15.75" customHeight="1">
      <c r="A82" s="209">
        <v>1505.0</v>
      </c>
      <c r="B82" s="196" t="s">
        <v>223</v>
      </c>
      <c r="C82" s="210" t="s">
        <v>214</v>
      </c>
      <c r="D82" s="196" t="s">
        <v>215</v>
      </c>
    </row>
    <row r="83" ht="15.75" customHeight="1">
      <c r="A83" s="209">
        <v>2184.0</v>
      </c>
      <c r="B83" s="196" t="s">
        <v>225</v>
      </c>
      <c r="C83" s="210" t="s">
        <v>214</v>
      </c>
      <c r="D83" s="196" t="s">
        <v>215</v>
      </c>
    </row>
    <row r="84" ht="15.75" customHeight="1">
      <c r="A84" s="209">
        <v>2185.0</v>
      </c>
      <c r="B84" s="196" t="s">
        <v>225</v>
      </c>
      <c r="C84" s="210" t="s">
        <v>214</v>
      </c>
      <c r="D84" s="196" t="s">
        <v>215</v>
      </c>
    </row>
    <row r="85" ht="15.75" customHeight="1">
      <c r="A85" s="209">
        <v>2020.0</v>
      </c>
      <c r="B85" s="196" t="s">
        <v>213</v>
      </c>
      <c r="C85" s="210" t="s">
        <v>214</v>
      </c>
      <c r="D85" s="196" t="s">
        <v>215</v>
      </c>
    </row>
    <row r="86" ht="15.75" customHeight="1">
      <c r="A86" s="209">
        <v>2631.0</v>
      </c>
      <c r="B86" s="196" t="s">
        <v>226</v>
      </c>
      <c r="C86" s="210" t="s">
        <v>214</v>
      </c>
      <c r="D86" s="196" t="s">
        <v>215</v>
      </c>
    </row>
    <row r="87" ht="15.75" customHeight="1">
      <c r="A87" s="209">
        <v>2324.0</v>
      </c>
      <c r="B87" s="196" t="s">
        <v>213</v>
      </c>
      <c r="C87" s="210" t="s">
        <v>214</v>
      </c>
      <c r="D87" s="196" t="s">
        <v>215</v>
      </c>
    </row>
    <row r="88" ht="15.75" customHeight="1">
      <c r="A88" s="209">
        <v>2325.0</v>
      </c>
      <c r="B88" s="196" t="s">
        <v>213</v>
      </c>
      <c r="C88" s="210" t="s">
        <v>214</v>
      </c>
      <c r="D88" s="196" t="s">
        <v>215</v>
      </c>
    </row>
    <row r="89" ht="15.75" customHeight="1">
      <c r="A89" s="209">
        <v>2135.0</v>
      </c>
      <c r="B89" s="196" t="s">
        <v>220</v>
      </c>
      <c r="C89" s="210" t="s">
        <v>214</v>
      </c>
      <c r="D89" s="196" t="s">
        <v>215</v>
      </c>
    </row>
    <row r="90" ht="15.75" customHeight="1">
      <c r="A90" s="209">
        <v>1010.0</v>
      </c>
      <c r="B90" s="196" t="s">
        <v>219</v>
      </c>
      <c r="C90" s="210" t="s">
        <v>214</v>
      </c>
      <c r="D90" s="196" t="s">
        <v>215</v>
      </c>
    </row>
    <row r="91" ht="15.75" customHeight="1">
      <c r="A91" s="209">
        <v>2301.0</v>
      </c>
      <c r="B91" s="210" t="s">
        <v>213</v>
      </c>
      <c r="C91" s="210" t="s">
        <v>214</v>
      </c>
      <c r="D91" s="196" t="s">
        <v>215</v>
      </c>
    </row>
    <row r="92" ht="15.75" customHeight="1">
      <c r="A92" s="209">
        <v>2302.0</v>
      </c>
      <c r="B92" s="210" t="s">
        <v>213</v>
      </c>
      <c r="C92" s="210" t="s">
        <v>214</v>
      </c>
      <c r="D92" s="196" t="s">
        <v>215</v>
      </c>
    </row>
    <row r="93" ht="15.75" customHeight="1">
      <c r="A93" s="209">
        <v>2303.0</v>
      </c>
      <c r="B93" s="210" t="s">
        <v>213</v>
      </c>
      <c r="C93" s="210" t="s">
        <v>214</v>
      </c>
      <c r="D93" s="196" t="s">
        <v>215</v>
      </c>
    </row>
    <row r="94" ht="15.75" customHeight="1">
      <c r="A94" s="209">
        <v>2304.0</v>
      </c>
      <c r="B94" s="210" t="s">
        <v>213</v>
      </c>
      <c r="C94" s="210" t="s">
        <v>214</v>
      </c>
      <c r="D94" s="196" t="s">
        <v>215</v>
      </c>
    </row>
    <row r="95" ht="15.75" customHeight="1">
      <c r="A95" s="209">
        <v>2305.0</v>
      </c>
      <c r="B95" s="210" t="s">
        <v>213</v>
      </c>
      <c r="C95" s="210" t="s">
        <v>214</v>
      </c>
      <c r="D95" s="196" t="s">
        <v>215</v>
      </c>
    </row>
    <row r="96" ht="15.75" customHeight="1">
      <c r="A96" s="209">
        <v>1506.0</v>
      </c>
      <c r="B96" s="210" t="s">
        <v>223</v>
      </c>
      <c r="C96" s="210" t="s">
        <v>214</v>
      </c>
      <c r="D96" s="196" t="s">
        <v>215</v>
      </c>
    </row>
    <row r="97" ht="15.75" customHeight="1">
      <c r="A97" s="209">
        <v>2445.0</v>
      </c>
      <c r="B97" s="210" t="s">
        <v>225</v>
      </c>
      <c r="C97" s="210" t="s">
        <v>214</v>
      </c>
      <c r="D97" s="196" t="s">
        <v>215</v>
      </c>
    </row>
    <row r="98" ht="15.75" customHeight="1">
      <c r="A98" s="209">
        <v>2446.0</v>
      </c>
      <c r="B98" s="210" t="s">
        <v>225</v>
      </c>
      <c r="C98" s="210" t="s">
        <v>214</v>
      </c>
      <c r="D98" s="196" t="s">
        <v>215</v>
      </c>
    </row>
    <row r="99" ht="15.75" customHeight="1">
      <c r="A99" s="209">
        <v>2447.0</v>
      </c>
      <c r="B99" s="210" t="s">
        <v>225</v>
      </c>
      <c r="C99" s="210" t="s">
        <v>214</v>
      </c>
      <c r="D99" s="196" t="s">
        <v>215</v>
      </c>
    </row>
    <row r="100" ht="15.75" customHeight="1">
      <c r="A100" s="209">
        <v>2327.0</v>
      </c>
      <c r="B100" s="210" t="s">
        <v>213</v>
      </c>
      <c r="C100" s="210" t="s">
        <v>214</v>
      </c>
      <c r="D100" s="196" t="s">
        <v>215</v>
      </c>
    </row>
    <row r="101" ht="15.75" customHeight="1">
      <c r="A101" s="209">
        <v>1338.0</v>
      </c>
      <c r="B101" s="210" t="s">
        <v>224</v>
      </c>
      <c r="C101" s="210" t="s">
        <v>214</v>
      </c>
      <c r="D101" s="196" t="s">
        <v>215</v>
      </c>
    </row>
    <row r="102" ht="15.75" customHeight="1">
      <c r="A102" s="209">
        <v>1803.0</v>
      </c>
      <c r="B102" s="210" t="s">
        <v>216</v>
      </c>
      <c r="C102" s="210" t="s">
        <v>214</v>
      </c>
      <c r="D102" s="196" t="s">
        <v>215</v>
      </c>
    </row>
    <row r="103" ht="15.75" customHeight="1">
      <c r="A103" s="209">
        <v>1805.0</v>
      </c>
      <c r="B103" s="210" t="s">
        <v>216</v>
      </c>
      <c r="C103" s="210" t="s">
        <v>214</v>
      </c>
      <c r="D103" s="196" t="s">
        <v>215</v>
      </c>
    </row>
    <row r="104" ht="15.75" customHeight="1">
      <c r="A104" s="209">
        <v>2532.0</v>
      </c>
      <c r="B104" s="210" t="s">
        <v>226</v>
      </c>
      <c r="C104" s="210" t="s">
        <v>214</v>
      </c>
      <c r="D104" s="196" t="s">
        <v>215</v>
      </c>
    </row>
    <row r="105" ht="15.75" customHeight="1">
      <c r="A105" s="209">
        <v>2542.0</v>
      </c>
      <c r="B105" s="210" t="s">
        <v>226</v>
      </c>
      <c r="C105" s="210" t="s">
        <v>214</v>
      </c>
      <c r="D105" s="196" t="s">
        <v>215</v>
      </c>
    </row>
    <row r="106" ht="15.75" customHeight="1">
      <c r="A106" s="209">
        <v>1922.0</v>
      </c>
      <c r="B106" s="210" t="s">
        <v>221</v>
      </c>
      <c r="C106" s="210" t="s">
        <v>214</v>
      </c>
      <c r="D106" s="196" t="s">
        <v>215</v>
      </c>
    </row>
    <row r="107" ht="15.75" customHeight="1">
      <c r="A107" s="209">
        <v>2138.0</v>
      </c>
      <c r="B107" s="210" t="s">
        <v>216</v>
      </c>
      <c r="C107" s="210" t="s">
        <v>214</v>
      </c>
      <c r="D107" s="196" t="s">
        <v>215</v>
      </c>
    </row>
    <row r="108" ht="15.75" customHeight="1">
      <c r="A108" s="209">
        <v>2139.0</v>
      </c>
      <c r="B108" s="210" t="s">
        <v>216</v>
      </c>
      <c r="C108" s="210" t="s">
        <v>214</v>
      </c>
      <c r="D108" s="196" t="s">
        <v>215</v>
      </c>
    </row>
    <row r="109" ht="15.75" customHeight="1">
      <c r="A109" s="209">
        <v>2140.0</v>
      </c>
      <c r="B109" s="210" t="s">
        <v>216</v>
      </c>
      <c r="C109" s="210" t="s">
        <v>214</v>
      </c>
      <c r="D109" s="196" t="s">
        <v>215</v>
      </c>
    </row>
    <row r="110" ht="15.75" customHeight="1">
      <c r="A110" s="209">
        <v>2141.0</v>
      </c>
      <c r="B110" s="210" t="s">
        <v>216</v>
      </c>
      <c r="C110" s="210" t="s">
        <v>214</v>
      </c>
      <c r="D110" s="196" t="s">
        <v>215</v>
      </c>
    </row>
    <row r="111" ht="15.75" customHeight="1">
      <c r="A111" s="209">
        <v>2142.0</v>
      </c>
      <c r="B111" s="210" t="s">
        <v>216</v>
      </c>
      <c r="C111" s="210" t="s">
        <v>214</v>
      </c>
      <c r="D111" s="196" t="s">
        <v>215</v>
      </c>
    </row>
    <row r="112" ht="15.75" customHeight="1">
      <c r="A112" s="209">
        <v>2238.0</v>
      </c>
      <c r="B112" s="210" t="s">
        <v>216</v>
      </c>
      <c r="C112" s="210" t="s">
        <v>214</v>
      </c>
      <c r="D112" s="196" t="s">
        <v>215</v>
      </c>
    </row>
    <row r="113" ht="15.75" customHeight="1">
      <c r="A113" s="209">
        <v>2021.0</v>
      </c>
      <c r="B113" s="210" t="s">
        <v>225</v>
      </c>
      <c r="C113" s="210" t="s">
        <v>214</v>
      </c>
      <c r="D113" s="196" t="s">
        <v>215</v>
      </c>
    </row>
    <row r="114" ht="15.75" customHeight="1">
      <c r="A114" s="209">
        <v>1741.0</v>
      </c>
      <c r="B114" s="210" t="s">
        <v>216</v>
      </c>
      <c r="C114" s="210" t="s">
        <v>214</v>
      </c>
      <c r="D114" s="196" t="s">
        <v>215</v>
      </c>
    </row>
    <row r="115" ht="15.75" customHeight="1">
      <c r="A115" s="209">
        <v>2330.0</v>
      </c>
      <c r="B115" s="210" t="s">
        <v>213</v>
      </c>
      <c r="C115" s="210" t="s">
        <v>214</v>
      </c>
      <c r="D115" s="196" t="s">
        <v>215</v>
      </c>
    </row>
    <row r="116" ht="15.75" customHeight="1">
      <c r="A116" s="209">
        <v>2534.0</v>
      </c>
      <c r="B116" s="210" t="s">
        <v>226</v>
      </c>
      <c r="C116" s="210" t="s">
        <v>214</v>
      </c>
      <c r="D116" s="196" t="s">
        <v>215</v>
      </c>
    </row>
    <row r="117" ht="15.75" customHeight="1">
      <c r="A117" s="209">
        <v>2632.0</v>
      </c>
      <c r="B117" s="210" t="s">
        <v>226</v>
      </c>
      <c r="C117" s="210" t="s">
        <v>214</v>
      </c>
      <c r="D117" s="196" t="s">
        <v>215</v>
      </c>
    </row>
    <row r="118" ht="15.75" customHeight="1">
      <c r="A118" s="209">
        <v>2634.0</v>
      </c>
      <c r="B118" s="210" t="s">
        <v>226</v>
      </c>
      <c r="C118" s="210" t="s">
        <v>214</v>
      </c>
      <c r="D118" s="196" t="s">
        <v>215</v>
      </c>
    </row>
    <row r="119" ht="15.75" customHeight="1">
      <c r="A119" s="209">
        <v>1339.0</v>
      </c>
      <c r="B119" s="210" t="s">
        <v>224</v>
      </c>
      <c r="C119" s="210" t="s">
        <v>214</v>
      </c>
      <c r="D119" s="196" t="s">
        <v>215</v>
      </c>
    </row>
    <row r="120" ht="15.75" customHeight="1">
      <c r="A120" s="209">
        <v>2129.0</v>
      </c>
      <c r="B120" s="210" t="s">
        <v>220</v>
      </c>
      <c r="C120" s="210" t="s">
        <v>214</v>
      </c>
      <c r="D120" s="196" t="s">
        <v>215</v>
      </c>
    </row>
    <row r="121" ht="15.75" customHeight="1">
      <c r="A121" s="209">
        <v>1507.0</v>
      </c>
      <c r="B121" s="210" t="s">
        <v>223</v>
      </c>
      <c r="C121" s="210" t="s">
        <v>214</v>
      </c>
      <c r="D121" s="196" t="s">
        <v>215</v>
      </c>
    </row>
    <row r="122" ht="15.75" customHeight="1">
      <c r="A122" s="209">
        <v>1508.0</v>
      </c>
      <c r="B122" s="210" t="s">
        <v>223</v>
      </c>
      <c r="C122" s="210" t="s">
        <v>214</v>
      </c>
      <c r="D122" s="196" t="s">
        <v>215</v>
      </c>
    </row>
    <row r="123" ht="15.75" customHeight="1">
      <c r="A123" s="209">
        <v>1509.0</v>
      </c>
      <c r="B123" s="210" t="s">
        <v>223</v>
      </c>
      <c r="C123" s="210" t="s">
        <v>214</v>
      </c>
      <c r="D123" s="196" t="s">
        <v>215</v>
      </c>
    </row>
    <row r="124" ht="15.75" customHeight="1">
      <c r="A124" s="209">
        <v>2712.0</v>
      </c>
      <c r="B124" s="210" t="s">
        <v>217</v>
      </c>
      <c r="C124" s="210" t="s">
        <v>214</v>
      </c>
      <c r="D124" s="196" t="s">
        <v>215</v>
      </c>
    </row>
    <row r="125" ht="15.75" customHeight="1">
      <c r="A125" s="209">
        <v>2633.0</v>
      </c>
      <c r="B125" s="210" t="s">
        <v>226</v>
      </c>
      <c r="C125" s="210" t="s">
        <v>214</v>
      </c>
      <c r="D125" s="196" t="s">
        <v>215</v>
      </c>
    </row>
    <row r="126" ht="15.75" customHeight="1">
      <c r="A126" s="209">
        <v>1824.0</v>
      </c>
      <c r="B126" s="210" t="s">
        <v>216</v>
      </c>
      <c r="C126" s="210" t="s">
        <v>214</v>
      </c>
      <c r="D126" s="196" t="s">
        <v>215</v>
      </c>
    </row>
    <row r="127" ht="15.75" customHeight="1">
      <c r="A127" s="209">
        <v>2150.0</v>
      </c>
      <c r="B127" s="210" t="s">
        <v>220</v>
      </c>
      <c r="C127" s="210" t="s">
        <v>214</v>
      </c>
      <c r="D127" s="196" t="s">
        <v>215</v>
      </c>
    </row>
    <row r="128" ht="15.75" customHeight="1">
      <c r="A128" s="209">
        <v>1611.0</v>
      </c>
      <c r="B128" s="210" t="s">
        <v>223</v>
      </c>
      <c r="C128" s="210" t="s">
        <v>214</v>
      </c>
      <c r="D128" s="196" t="s">
        <v>215</v>
      </c>
    </row>
    <row r="129" ht="15.75" customHeight="1">
      <c r="A129" s="209">
        <v>1225.0</v>
      </c>
      <c r="B129" s="210" t="s">
        <v>218</v>
      </c>
      <c r="C129" s="210" t="s">
        <v>214</v>
      </c>
      <c r="D129" s="196" t="s">
        <v>215</v>
      </c>
    </row>
    <row r="130" ht="15.75" customHeight="1">
      <c r="A130" s="209">
        <v>1011.0</v>
      </c>
      <c r="B130" s="210" t="s">
        <v>219</v>
      </c>
      <c r="C130" s="210" t="s">
        <v>214</v>
      </c>
      <c r="D130" s="196" t="s">
        <v>215</v>
      </c>
    </row>
    <row r="131" ht="15.75" customHeight="1">
      <c r="A131" s="209">
        <v>1012.0</v>
      </c>
      <c r="B131" s="210" t="s">
        <v>222</v>
      </c>
      <c r="C131" s="210" t="s">
        <v>214</v>
      </c>
      <c r="D131" s="196" t="s">
        <v>215</v>
      </c>
    </row>
    <row r="132" ht="15.75" customHeight="1">
      <c r="A132" s="209">
        <v>2467.0</v>
      </c>
      <c r="B132" s="210" t="s">
        <v>216</v>
      </c>
      <c r="C132" s="210" t="s">
        <v>214</v>
      </c>
      <c r="D132" s="196" t="s">
        <v>215</v>
      </c>
    </row>
    <row r="133" ht="15.75" customHeight="1">
      <c r="A133" s="209">
        <v>1013.0</v>
      </c>
      <c r="B133" s="210" t="s">
        <v>219</v>
      </c>
      <c r="C133" s="210" t="s">
        <v>214</v>
      </c>
      <c r="D133" s="196" t="s">
        <v>215</v>
      </c>
    </row>
    <row r="134" ht="15.75" customHeight="1">
      <c r="A134" s="209">
        <v>1014.0</v>
      </c>
      <c r="B134" s="210" t="s">
        <v>219</v>
      </c>
      <c r="C134" s="210" t="s">
        <v>214</v>
      </c>
      <c r="D134" s="196" t="s">
        <v>215</v>
      </c>
    </row>
    <row r="135" ht="15.75" customHeight="1">
      <c r="A135" s="209">
        <v>1020.0</v>
      </c>
      <c r="B135" s="210" t="s">
        <v>219</v>
      </c>
      <c r="C135" s="210" t="s">
        <v>214</v>
      </c>
      <c r="D135" s="196" t="s">
        <v>215</v>
      </c>
    </row>
    <row r="136" ht="15.75" customHeight="1">
      <c r="A136" s="209">
        <v>1021.0</v>
      </c>
      <c r="B136" s="210" t="s">
        <v>219</v>
      </c>
      <c r="C136" s="210" t="s">
        <v>214</v>
      </c>
      <c r="D136" s="196" t="s">
        <v>215</v>
      </c>
    </row>
    <row r="137" ht="15.75" customHeight="1">
      <c r="A137" s="209">
        <v>1022.0</v>
      </c>
      <c r="B137" s="210" t="s">
        <v>219</v>
      </c>
      <c r="C137" s="210" t="s">
        <v>214</v>
      </c>
      <c r="D137" s="196" t="s">
        <v>215</v>
      </c>
    </row>
    <row r="138" ht="15.75" customHeight="1">
      <c r="A138" s="209">
        <v>2535.0</v>
      </c>
      <c r="B138" s="210" t="s">
        <v>227</v>
      </c>
      <c r="C138" s="210" t="s">
        <v>214</v>
      </c>
      <c r="D138" s="196" t="s">
        <v>215</v>
      </c>
    </row>
    <row r="139" ht="15.75" customHeight="1">
      <c r="A139" s="209">
        <v>1510.0</v>
      </c>
      <c r="B139" s="210" t="s">
        <v>223</v>
      </c>
      <c r="C139" s="210" t="s">
        <v>214</v>
      </c>
      <c r="D139" s="196" t="s">
        <v>215</v>
      </c>
    </row>
    <row r="140" ht="15.75" customHeight="1">
      <c r="A140" s="209">
        <v>2025.0</v>
      </c>
      <c r="B140" s="210" t="s">
        <v>225</v>
      </c>
      <c r="C140" s="210" t="s">
        <v>214</v>
      </c>
      <c r="D140" s="196" t="s">
        <v>215</v>
      </c>
    </row>
    <row r="141" ht="15.75" customHeight="1">
      <c r="A141" s="209">
        <v>1340.0</v>
      </c>
      <c r="B141" s="210" t="s">
        <v>224</v>
      </c>
      <c r="C141" s="210" t="s">
        <v>214</v>
      </c>
      <c r="D141" s="196" t="s">
        <v>215</v>
      </c>
    </row>
    <row r="142" ht="15.75" customHeight="1">
      <c r="A142" s="209">
        <v>1742.0</v>
      </c>
      <c r="B142" s="210" t="s">
        <v>216</v>
      </c>
      <c r="C142" s="210" t="s">
        <v>214</v>
      </c>
      <c r="D142" s="196" t="s">
        <v>215</v>
      </c>
    </row>
    <row r="143" ht="15.75" customHeight="1">
      <c r="A143" s="209">
        <v>1341.0</v>
      </c>
      <c r="B143" s="210" t="s">
        <v>224</v>
      </c>
      <c r="C143" s="210" t="s">
        <v>214</v>
      </c>
      <c r="D143" s="196" t="s">
        <v>215</v>
      </c>
    </row>
    <row r="144" ht="15.75" customHeight="1">
      <c r="A144" s="209">
        <v>2635.0</v>
      </c>
      <c r="B144" s="210" t="s">
        <v>226</v>
      </c>
      <c r="C144" s="210" t="s">
        <v>214</v>
      </c>
      <c r="D144" s="196" t="s">
        <v>215</v>
      </c>
    </row>
    <row r="145" ht="15.75" customHeight="1">
      <c r="A145" s="209">
        <v>2637.0</v>
      </c>
      <c r="B145" s="210" t="s">
        <v>226</v>
      </c>
      <c r="C145" s="210" t="s">
        <v>214</v>
      </c>
      <c r="D145" s="196" t="s">
        <v>215</v>
      </c>
    </row>
    <row r="146" ht="15.75" customHeight="1">
      <c r="A146" s="209">
        <v>1026.0</v>
      </c>
      <c r="B146" s="210" t="s">
        <v>222</v>
      </c>
      <c r="C146" s="210" t="s">
        <v>214</v>
      </c>
      <c r="D146" s="196" t="s">
        <v>215</v>
      </c>
    </row>
    <row r="147" ht="15.75" customHeight="1">
      <c r="A147" s="209">
        <v>2713.0</v>
      </c>
      <c r="B147" s="210" t="s">
        <v>227</v>
      </c>
      <c r="C147" s="210" t="s">
        <v>214</v>
      </c>
      <c r="D147" s="196" t="s">
        <v>215</v>
      </c>
    </row>
    <row r="148" ht="15.75" customHeight="1">
      <c r="A148" s="209">
        <v>1226.0</v>
      </c>
      <c r="B148" s="210" t="s">
        <v>218</v>
      </c>
      <c r="C148" s="210" t="s">
        <v>214</v>
      </c>
      <c r="D148" s="196" t="s">
        <v>215</v>
      </c>
    </row>
    <row r="149" ht="15.75" customHeight="1">
      <c r="A149" s="209">
        <v>1227.0</v>
      </c>
      <c r="B149" s="210" t="s">
        <v>218</v>
      </c>
      <c r="C149" s="210" t="s">
        <v>214</v>
      </c>
      <c r="D149" s="196" t="s">
        <v>215</v>
      </c>
    </row>
    <row r="150" ht="15.75" customHeight="1">
      <c r="A150" s="209">
        <v>1923.0</v>
      </c>
      <c r="B150" s="210" t="s">
        <v>221</v>
      </c>
      <c r="C150" s="210" t="s">
        <v>214</v>
      </c>
      <c r="D150" s="196" t="s">
        <v>215</v>
      </c>
    </row>
    <row r="151" ht="15.75" customHeight="1">
      <c r="A151" s="209">
        <v>2714.0</v>
      </c>
      <c r="B151" s="210" t="s">
        <v>217</v>
      </c>
      <c r="C151" s="210" t="s">
        <v>214</v>
      </c>
      <c r="D151" s="196" t="s">
        <v>215</v>
      </c>
    </row>
    <row r="152" ht="15.75" customHeight="1">
      <c r="A152" s="209">
        <v>2026.0</v>
      </c>
      <c r="B152" s="210" t="s">
        <v>225</v>
      </c>
      <c r="C152" s="210" t="s">
        <v>214</v>
      </c>
      <c r="D152" s="196" t="s">
        <v>215</v>
      </c>
    </row>
    <row r="153" ht="15.75" customHeight="1">
      <c r="A153" s="209">
        <v>2027.0</v>
      </c>
      <c r="B153" s="210" t="s">
        <v>225</v>
      </c>
      <c r="C153" s="210" t="s">
        <v>214</v>
      </c>
      <c r="D153" s="196" t="s">
        <v>215</v>
      </c>
    </row>
    <row r="154" ht="15.75" customHeight="1">
      <c r="A154" s="209">
        <v>1342.0</v>
      </c>
      <c r="B154" s="210" t="s">
        <v>224</v>
      </c>
      <c r="C154" s="210" t="s">
        <v>214</v>
      </c>
      <c r="D154" s="196" t="s">
        <v>215</v>
      </c>
    </row>
    <row r="155" ht="15.75" customHeight="1">
      <c r="A155" s="209">
        <v>2638.0</v>
      </c>
      <c r="B155" s="210" t="s">
        <v>226</v>
      </c>
      <c r="C155" s="210" t="s">
        <v>214</v>
      </c>
      <c r="D155" s="196" t="s">
        <v>215</v>
      </c>
    </row>
    <row r="156" ht="15.75" customHeight="1">
      <c r="A156" s="209">
        <v>2639.0</v>
      </c>
      <c r="B156" s="210" t="s">
        <v>226</v>
      </c>
      <c r="C156" s="210" t="s">
        <v>214</v>
      </c>
      <c r="D156" s="196" t="s">
        <v>215</v>
      </c>
    </row>
    <row r="157" ht="15.75" customHeight="1">
      <c r="A157" s="209">
        <v>1434.0</v>
      </c>
      <c r="B157" s="210" t="s">
        <v>216</v>
      </c>
      <c r="C157" s="210" t="s">
        <v>214</v>
      </c>
      <c r="D157" s="196" t="s">
        <v>215</v>
      </c>
    </row>
    <row r="158" ht="15.75" customHeight="1">
      <c r="A158" s="209">
        <v>2715.0</v>
      </c>
      <c r="B158" s="210" t="s">
        <v>217</v>
      </c>
      <c r="C158" s="210" t="s">
        <v>214</v>
      </c>
      <c r="D158" s="196" t="s">
        <v>215</v>
      </c>
    </row>
    <row r="159" ht="15.75" customHeight="1">
      <c r="A159" s="209">
        <v>2121.0</v>
      </c>
      <c r="B159" s="210" t="s">
        <v>220</v>
      </c>
      <c r="C159" s="210" t="s">
        <v>214</v>
      </c>
      <c r="D159" s="196" t="s">
        <v>215</v>
      </c>
    </row>
    <row r="160" ht="15.75" customHeight="1">
      <c r="A160" s="209">
        <v>2122.0</v>
      </c>
      <c r="B160" s="210" t="s">
        <v>220</v>
      </c>
      <c r="C160" s="210" t="s">
        <v>214</v>
      </c>
      <c r="D160" s="196" t="s">
        <v>215</v>
      </c>
    </row>
    <row r="161" ht="15.75" customHeight="1">
      <c r="A161" s="209">
        <v>2125.0</v>
      </c>
      <c r="B161" s="210" t="s">
        <v>220</v>
      </c>
      <c r="C161" s="210" t="s">
        <v>214</v>
      </c>
      <c r="D161" s="196" t="s">
        <v>215</v>
      </c>
    </row>
    <row r="162" ht="15.75" customHeight="1">
      <c r="A162" s="209">
        <v>2124.0</v>
      </c>
      <c r="B162" s="210" t="s">
        <v>220</v>
      </c>
      <c r="C162" s="210" t="s">
        <v>214</v>
      </c>
      <c r="D162" s="196" t="s">
        <v>215</v>
      </c>
    </row>
    <row r="163" ht="15.75" customHeight="1">
      <c r="A163" s="209">
        <v>1516.0</v>
      </c>
      <c r="B163" s="210" t="s">
        <v>223</v>
      </c>
      <c r="C163" s="210" t="s">
        <v>214</v>
      </c>
      <c r="D163" s="196" t="s">
        <v>215</v>
      </c>
    </row>
    <row r="164" ht="15.75" customHeight="1">
      <c r="A164" s="209">
        <v>2030.0</v>
      </c>
      <c r="B164" s="210" t="s">
        <v>225</v>
      </c>
      <c r="C164" s="210" t="s">
        <v>214</v>
      </c>
      <c r="D164" s="196" t="s">
        <v>215</v>
      </c>
    </row>
    <row r="165" ht="15.75" customHeight="1">
      <c r="A165" s="209">
        <v>1826.0</v>
      </c>
      <c r="B165" s="210" t="s">
        <v>216</v>
      </c>
      <c r="C165" s="210" t="s">
        <v>214</v>
      </c>
      <c r="D165" s="196" t="s">
        <v>215</v>
      </c>
    </row>
    <row r="166" ht="15.75" customHeight="1">
      <c r="A166" s="209">
        <v>1343.0</v>
      </c>
      <c r="B166" s="210" t="s">
        <v>218</v>
      </c>
      <c r="C166" s="210" t="s">
        <v>214</v>
      </c>
      <c r="D166" s="196" t="s">
        <v>215</v>
      </c>
    </row>
    <row r="167" ht="15.75" customHeight="1">
      <c r="A167" s="209">
        <v>1571.0</v>
      </c>
      <c r="B167" s="210" t="s">
        <v>223</v>
      </c>
      <c r="C167" s="210" t="s">
        <v>214</v>
      </c>
      <c r="D167" s="196" t="s">
        <v>215</v>
      </c>
    </row>
    <row r="168" ht="15.75" customHeight="1">
      <c r="A168" s="209">
        <v>1827.0</v>
      </c>
      <c r="B168" s="210" t="s">
        <v>216</v>
      </c>
      <c r="C168" s="210" t="s">
        <v>214</v>
      </c>
      <c r="D168" s="196" t="s">
        <v>215</v>
      </c>
    </row>
    <row r="169" ht="15.75" customHeight="1">
      <c r="A169" s="209">
        <v>2331.0</v>
      </c>
      <c r="B169" s="210" t="s">
        <v>213</v>
      </c>
      <c r="C169" s="210" t="s">
        <v>214</v>
      </c>
      <c r="D169" s="196" t="s">
        <v>215</v>
      </c>
    </row>
    <row r="170" ht="15.75" customHeight="1">
      <c r="A170" s="209">
        <v>2332.0</v>
      </c>
      <c r="B170" s="210" t="s">
        <v>213</v>
      </c>
      <c r="C170" s="210" t="s">
        <v>214</v>
      </c>
      <c r="D170" s="196" t="s">
        <v>215</v>
      </c>
    </row>
    <row r="171" ht="15.75" customHeight="1">
      <c r="A171" s="209">
        <v>2228.0</v>
      </c>
      <c r="B171" s="210" t="s">
        <v>220</v>
      </c>
      <c r="C171" s="210" t="s">
        <v>214</v>
      </c>
      <c r="D171" s="196" t="s">
        <v>215</v>
      </c>
    </row>
    <row r="172" ht="15.75" customHeight="1">
      <c r="A172" s="209">
        <v>2333.0</v>
      </c>
      <c r="B172" s="210" t="s">
        <v>213</v>
      </c>
      <c r="C172" s="210" t="s">
        <v>214</v>
      </c>
      <c r="D172" s="196" t="s">
        <v>215</v>
      </c>
    </row>
    <row r="173" ht="15.75" customHeight="1">
      <c r="A173" s="209">
        <v>1515.0</v>
      </c>
      <c r="B173" s="210" t="s">
        <v>223</v>
      </c>
      <c r="C173" s="210" t="s">
        <v>214</v>
      </c>
      <c r="D173" s="196" t="s">
        <v>215</v>
      </c>
    </row>
    <row r="174" ht="15.75" customHeight="1">
      <c r="A174" s="209">
        <v>2641.0</v>
      </c>
      <c r="B174" s="210" t="s">
        <v>226</v>
      </c>
      <c r="C174" s="210" t="s">
        <v>214</v>
      </c>
      <c r="D174" s="196" t="s">
        <v>215</v>
      </c>
    </row>
    <row r="175" ht="15.75" customHeight="1">
      <c r="A175" s="209">
        <v>2536.0</v>
      </c>
      <c r="B175" s="210" t="s">
        <v>226</v>
      </c>
      <c r="C175" s="210" t="s">
        <v>214</v>
      </c>
      <c r="D175" s="196" t="s">
        <v>215</v>
      </c>
    </row>
    <row r="176" ht="15.75" customHeight="1">
      <c r="A176" s="209">
        <v>2717.0</v>
      </c>
      <c r="B176" s="210" t="s">
        <v>217</v>
      </c>
      <c r="C176" s="210" t="s">
        <v>214</v>
      </c>
      <c r="D176" s="196" t="s">
        <v>215</v>
      </c>
    </row>
    <row r="177" ht="15.75" customHeight="1">
      <c r="A177" s="209">
        <v>1028.0</v>
      </c>
      <c r="B177" s="210" t="s">
        <v>219</v>
      </c>
      <c r="C177" s="210" t="s">
        <v>214</v>
      </c>
      <c r="D177" s="196" t="s">
        <v>215</v>
      </c>
    </row>
    <row r="178" ht="15.75" customHeight="1">
      <c r="A178" s="209">
        <v>2643.0</v>
      </c>
      <c r="B178" s="210" t="s">
        <v>226</v>
      </c>
      <c r="C178" s="210" t="s">
        <v>214</v>
      </c>
      <c r="D178" s="196" t="s">
        <v>215</v>
      </c>
    </row>
    <row r="179" ht="15.75" customHeight="1">
      <c r="A179" s="209">
        <v>1029.0</v>
      </c>
      <c r="B179" s="210" t="s">
        <v>218</v>
      </c>
      <c r="C179" s="210" t="s">
        <v>214</v>
      </c>
      <c r="D179" s="196" t="s">
        <v>215</v>
      </c>
    </row>
    <row r="180" ht="15.75" customHeight="1">
      <c r="A180" s="209">
        <v>2537.0</v>
      </c>
      <c r="B180" s="210" t="s">
        <v>226</v>
      </c>
      <c r="C180" s="210" t="s">
        <v>214</v>
      </c>
      <c r="D180" s="196" t="s">
        <v>215</v>
      </c>
    </row>
    <row r="181" ht="15.75" customHeight="1">
      <c r="A181" s="209">
        <v>2718.0</v>
      </c>
      <c r="B181" s="210" t="s">
        <v>217</v>
      </c>
      <c r="C181" s="210" t="s">
        <v>214</v>
      </c>
      <c r="D181" s="196" t="s">
        <v>215</v>
      </c>
    </row>
    <row r="182" ht="15.75" customHeight="1">
      <c r="A182" s="209">
        <v>1438.0</v>
      </c>
      <c r="B182" s="210" t="s">
        <v>223</v>
      </c>
      <c r="C182" s="210" t="s">
        <v>214</v>
      </c>
      <c r="D182" s="196" t="s">
        <v>215</v>
      </c>
    </row>
    <row r="183" ht="15.75" customHeight="1">
      <c r="A183" s="209">
        <v>2032.0</v>
      </c>
      <c r="B183" s="210" t="s">
        <v>225</v>
      </c>
      <c r="C183" s="210" t="s">
        <v>214</v>
      </c>
      <c r="D183" s="196" t="s">
        <v>215</v>
      </c>
    </row>
    <row r="184" ht="15.75" customHeight="1">
      <c r="A184" s="209">
        <v>2538.0</v>
      </c>
      <c r="B184" s="210" t="s">
        <v>213</v>
      </c>
      <c r="C184" s="210" t="s">
        <v>214</v>
      </c>
      <c r="D184" s="196" t="s">
        <v>215</v>
      </c>
    </row>
    <row r="185" ht="15.75" customHeight="1">
      <c r="A185" s="209">
        <v>2189.0</v>
      </c>
      <c r="B185" s="210" t="s">
        <v>225</v>
      </c>
      <c r="C185" s="210" t="s">
        <v>214</v>
      </c>
      <c r="D185" s="196" t="s">
        <v>215</v>
      </c>
    </row>
    <row r="186" ht="15.75" customHeight="1">
      <c r="A186" s="209">
        <v>2642.0</v>
      </c>
      <c r="B186" s="210" t="s">
        <v>226</v>
      </c>
      <c r="C186" s="210" t="s">
        <v>214</v>
      </c>
      <c r="D186" s="196" t="s">
        <v>215</v>
      </c>
    </row>
    <row r="187" ht="15.75" customHeight="1">
      <c r="A187" s="209">
        <v>1027.0</v>
      </c>
      <c r="B187" s="210" t="s">
        <v>222</v>
      </c>
      <c r="C187" s="210" t="s">
        <v>214</v>
      </c>
      <c r="D187" s="196" t="s">
        <v>215</v>
      </c>
    </row>
    <row r="188" ht="15.75" customHeight="1">
      <c r="A188" s="209">
        <v>2334.0</v>
      </c>
      <c r="B188" s="210" t="s">
        <v>217</v>
      </c>
      <c r="C188" s="210" t="s">
        <v>214</v>
      </c>
      <c r="D188" s="196" t="s">
        <v>215</v>
      </c>
    </row>
    <row r="189" ht="15.75" customHeight="1">
      <c r="A189" s="209">
        <v>2539.0</v>
      </c>
      <c r="B189" s="210" t="s">
        <v>227</v>
      </c>
      <c r="C189" s="210" t="s">
        <v>214</v>
      </c>
      <c r="D189" s="196" t="s">
        <v>215</v>
      </c>
    </row>
    <row r="190" ht="15.75" customHeight="1">
      <c r="A190" s="209">
        <v>2337.0</v>
      </c>
      <c r="B190" s="210" t="s">
        <v>213</v>
      </c>
      <c r="C190" s="210" t="s">
        <v>214</v>
      </c>
      <c r="D190" s="196" t="s">
        <v>215</v>
      </c>
    </row>
    <row r="191" ht="15.75" customHeight="1">
      <c r="A191" s="209">
        <v>1344.0</v>
      </c>
      <c r="B191" s="210" t="s">
        <v>224</v>
      </c>
      <c r="C191" s="210" t="s">
        <v>214</v>
      </c>
      <c r="D191" s="196" t="s">
        <v>215</v>
      </c>
    </row>
    <row r="192" ht="15.75" customHeight="1">
      <c r="A192" s="209">
        <v>1929.0</v>
      </c>
      <c r="B192" s="210" t="s">
        <v>221</v>
      </c>
      <c r="C192" s="210" t="s">
        <v>214</v>
      </c>
      <c r="D192" s="196" t="s">
        <v>215</v>
      </c>
    </row>
    <row r="193" ht="15.75" customHeight="1">
      <c r="A193" s="209">
        <v>2149.0</v>
      </c>
      <c r="B193" s="210" t="s">
        <v>216</v>
      </c>
      <c r="C193" s="210" t="s">
        <v>214</v>
      </c>
      <c r="D193" s="196" t="s">
        <v>215</v>
      </c>
    </row>
    <row r="194" ht="15.75" customHeight="1">
      <c r="A194" s="209">
        <v>2719.0</v>
      </c>
      <c r="B194" s="210" t="s">
        <v>217</v>
      </c>
      <c r="C194" s="210" t="s">
        <v>214</v>
      </c>
      <c r="D194" s="196" t="s">
        <v>215</v>
      </c>
    </row>
    <row r="195" ht="15.75" customHeight="1">
      <c r="A195" s="209">
        <v>2720.0</v>
      </c>
      <c r="B195" s="210" t="s">
        <v>217</v>
      </c>
      <c r="C195" s="210" t="s">
        <v>214</v>
      </c>
      <c r="D195" s="196" t="s">
        <v>215</v>
      </c>
    </row>
    <row r="196" ht="15.75" customHeight="1">
      <c r="A196" s="209">
        <v>2721.0</v>
      </c>
      <c r="B196" s="210" t="s">
        <v>217</v>
      </c>
      <c r="C196" s="210" t="s">
        <v>214</v>
      </c>
      <c r="D196" s="196" t="s">
        <v>215</v>
      </c>
    </row>
    <row r="197" ht="15.75" customHeight="1">
      <c r="A197" s="209">
        <v>2722.0</v>
      </c>
      <c r="B197" s="210" t="s">
        <v>217</v>
      </c>
      <c r="C197" s="210" t="s">
        <v>214</v>
      </c>
      <c r="D197" s="196" t="s">
        <v>215</v>
      </c>
    </row>
    <row r="198" ht="15.75" customHeight="1">
      <c r="A198" s="209">
        <v>2723.0</v>
      </c>
      <c r="B198" s="210" t="s">
        <v>217</v>
      </c>
      <c r="C198" s="210" t="s">
        <v>214</v>
      </c>
      <c r="D198" s="196" t="s">
        <v>215</v>
      </c>
    </row>
    <row r="199" ht="15.75" customHeight="1">
      <c r="A199" s="209">
        <v>2724.0</v>
      </c>
      <c r="B199" s="210" t="s">
        <v>217</v>
      </c>
      <c r="C199" s="210" t="s">
        <v>214</v>
      </c>
      <c r="D199" s="196" t="s">
        <v>215</v>
      </c>
    </row>
    <row r="200" ht="15.75" customHeight="1">
      <c r="A200" s="209">
        <v>2540.0</v>
      </c>
      <c r="B200" s="210" t="s">
        <v>226</v>
      </c>
      <c r="C200" s="210" t="s">
        <v>214</v>
      </c>
      <c r="D200" s="196" t="s">
        <v>215</v>
      </c>
    </row>
    <row r="201" ht="15.75" customHeight="1">
      <c r="A201" s="209">
        <v>2541.0</v>
      </c>
      <c r="B201" s="210" t="s">
        <v>226</v>
      </c>
      <c r="C201" s="210" t="s">
        <v>214</v>
      </c>
      <c r="D201" s="196" t="s">
        <v>215</v>
      </c>
    </row>
    <row r="202" ht="15.75" customHeight="1">
      <c r="A202" s="209">
        <v>1745.0</v>
      </c>
      <c r="B202" s="210" t="s">
        <v>223</v>
      </c>
      <c r="C202" s="210" t="s">
        <v>214</v>
      </c>
      <c r="D202" s="196" t="s">
        <v>215</v>
      </c>
    </row>
    <row r="203" ht="15.75" customHeight="1">
      <c r="A203" s="209">
        <v>1030.0</v>
      </c>
      <c r="B203" s="210" t="s">
        <v>219</v>
      </c>
      <c r="C203" s="210" t="s">
        <v>214</v>
      </c>
      <c r="D203" s="196" t="s">
        <v>215</v>
      </c>
    </row>
    <row r="204" ht="15.75" customHeight="1">
      <c r="A204" s="209">
        <v>1518.0</v>
      </c>
      <c r="B204" s="210" t="s">
        <v>223</v>
      </c>
      <c r="C204" s="210" t="s">
        <v>214</v>
      </c>
      <c r="D204" s="196" t="s">
        <v>215</v>
      </c>
    </row>
    <row r="205" ht="15.75" customHeight="1">
      <c r="A205" s="209">
        <v>1420.0</v>
      </c>
      <c r="B205" s="210" t="s">
        <v>223</v>
      </c>
      <c r="C205" s="210" t="s">
        <v>214</v>
      </c>
      <c r="D205" s="196" t="s">
        <v>215</v>
      </c>
    </row>
    <row r="206" ht="15.75" customHeight="1">
      <c r="A206" s="209">
        <v>1062.0</v>
      </c>
      <c r="B206" s="210" t="s">
        <v>222</v>
      </c>
      <c r="C206" s="210" t="s">
        <v>214</v>
      </c>
      <c r="D206" s="196" t="s">
        <v>215</v>
      </c>
    </row>
    <row r="207" ht="15.75" customHeight="1">
      <c r="A207" s="209">
        <v>2644.0</v>
      </c>
      <c r="B207" s="210" t="s">
        <v>226</v>
      </c>
      <c r="C207" s="210" t="s">
        <v>214</v>
      </c>
      <c r="D207" s="196" t="s">
        <v>215</v>
      </c>
    </row>
    <row r="208" ht="15.75" customHeight="1">
      <c r="A208" s="209">
        <v>2035.0</v>
      </c>
      <c r="B208" s="210" t="s">
        <v>225</v>
      </c>
      <c r="C208" s="210" t="s">
        <v>214</v>
      </c>
      <c r="D208" s="196" t="s">
        <v>215</v>
      </c>
    </row>
    <row r="209" ht="15.75" customHeight="1">
      <c r="A209" s="209">
        <v>1701.0</v>
      </c>
      <c r="B209" s="210" t="s">
        <v>216</v>
      </c>
      <c r="C209" s="210" t="s">
        <v>214</v>
      </c>
      <c r="D209" s="196" t="s">
        <v>215</v>
      </c>
    </row>
    <row r="210" ht="15.75" customHeight="1">
      <c r="A210" s="209">
        <v>1702.0</v>
      </c>
      <c r="B210" s="210" t="s">
        <v>216</v>
      </c>
      <c r="C210" s="210" t="s">
        <v>214</v>
      </c>
      <c r="D210" s="196" t="s">
        <v>215</v>
      </c>
    </row>
    <row r="211" ht="15.75" customHeight="1">
      <c r="A211" s="209">
        <v>1703.0</v>
      </c>
      <c r="B211" s="210" t="s">
        <v>216</v>
      </c>
      <c r="C211" s="210" t="s">
        <v>214</v>
      </c>
      <c r="D211" s="196" t="s">
        <v>215</v>
      </c>
    </row>
    <row r="212" ht="15.75" customHeight="1">
      <c r="A212" s="209">
        <v>1704.0</v>
      </c>
      <c r="B212" s="210" t="s">
        <v>216</v>
      </c>
      <c r="C212" s="210" t="s">
        <v>214</v>
      </c>
      <c r="D212" s="196" t="s">
        <v>215</v>
      </c>
    </row>
    <row r="213" ht="15.75" customHeight="1">
      <c r="A213" s="209">
        <v>2038.0</v>
      </c>
      <c r="B213" s="210" t="s">
        <v>225</v>
      </c>
      <c r="C213" s="210" t="s">
        <v>214</v>
      </c>
      <c r="D213" s="196" t="s">
        <v>215</v>
      </c>
    </row>
    <row r="214" ht="15.75" customHeight="1">
      <c r="A214" s="209">
        <v>1440.0</v>
      </c>
      <c r="B214" s="210" t="s">
        <v>223</v>
      </c>
      <c r="C214" s="210" t="s">
        <v>214</v>
      </c>
      <c r="D214" s="196" t="s">
        <v>215</v>
      </c>
    </row>
    <row r="215" ht="15.75" customHeight="1">
      <c r="A215" s="209">
        <v>1833.0</v>
      </c>
      <c r="B215" s="210" t="s">
        <v>221</v>
      </c>
      <c r="C215" s="210" t="s">
        <v>214</v>
      </c>
      <c r="D215" s="196" t="s">
        <v>215</v>
      </c>
    </row>
    <row r="216" ht="15.75" customHeight="1">
      <c r="A216" s="209">
        <v>1031.0</v>
      </c>
      <c r="B216" s="210" t="s">
        <v>223</v>
      </c>
      <c r="C216" s="210" t="s">
        <v>214</v>
      </c>
      <c r="D216" s="196" t="s">
        <v>215</v>
      </c>
    </row>
    <row r="217" ht="15.75" customHeight="1">
      <c r="A217" s="209">
        <v>1354.0</v>
      </c>
      <c r="B217" s="210" t="s">
        <v>224</v>
      </c>
      <c r="C217" s="210" t="s">
        <v>214</v>
      </c>
      <c r="D217" s="196" t="s">
        <v>215</v>
      </c>
    </row>
    <row r="218" ht="15.75" customHeight="1">
      <c r="A218" s="209">
        <v>1229.0</v>
      </c>
      <c r="B218" s="210" t="s">
        <v>218</v>
      </c>
      <c r="C218" s="210" t="s">
        <v>214</v>
      </c>
      <c r="D218" s="196" t="s">
        <v>215</v>
      </c>
    </row>
    <row r="219" ht="15.75" customHeight="1">
      <c r="A219" s="209">
        <v>1930.0</v>
      </c>
      <c r="B219" s="210" t="s">
        <v>221</v>
      </c>
      <c r="C219" s="210" t="s">
        <v>214</v>
      </c>
      <c r="D219" s="196" t="s">
        <v>215</v>
      </c>
    </row>
    <row r="220" ht="15.75" customHeight="1">
      <c r="A220" s="209">
        <v>1931.0</v>
      </c>
      <c r="B220" s="210" t="s">
        <v>221</v>
      </c>
      <c r="C220" s="210" t="s">
        <v>214</v>
      </c>
      <c r="D220" s="196" t="s">
        <v>215</v>
      </c>
    </row>
    <row r="221" ht="15.75" customHeight="1">
      <c r="A221" s="209">
        <v>1032.0</v>
      </c>
      <c r="B221" s="210" t="s">
        <v>222</v>
      </c>
      <c r="C221" s="210" t="s">
        <v>214</v>
      </c>
      <c r="D221" s="196" t="s">
        <v>215</v>
      </c>
    </row>
    <row r="222" ht="15.75" customHeight="1">
      <c r="A222" s="209">
        <v>1519.0</v>
      </c>
      <c r="B222" s="210" t="s">
        <v>223</v>
      </c>
      <c r="C222" s="210" t="s">
        <v>214</v>
      </c>
      <c r="D222" s="196" t="s">
        <v>215</v>
      </c>
    </row>
    <row r="223" ht="15.75" customHeight="1">
      <c r="A223" s="209">
        <v>1033.0</v>
      </c>
      <c r="B223" s="210" t="s">
        <v>222</v>
      </c>
      <c r="C223" s="210" t="s">
        <v>214</v>
      </c>
      <c r="D223" s="196" t="s">
        <v>215</v>
      </c>
    </row>
    <row r="224" ht="15.75" customHeight="1">
      <c r="A224" s="209">
        <v>1034.0</v>
      </c>
      <c r="B224" s="210" t="s">
        <v>219</v>
      </c>
      <c r="C224" s="210" t="s">
        <v>214</v>
      </c>
      <c r="D224" s="196" t="s">
        <v>215</v>
      </c>
    </row>
    <row r="225" ht="15.75" customHeight="1">
      <c r="A225" s="209">
        <v>1230.0</v>
      </c>
      <c r="B225" s="210" t="s">
        <v>218</v>
      </c>
      <c r="C225" s="210" t="s">
        <v>214</v>
      </c>
      <c r="D225" s="196" t="s">
        <v>215</v>
      </c>
    </row>
    <row r="226" ht="15.75" customHeight="1">
      <c r="A226" s="209">
        <v>2041.0</v>
      </c>
      <c r="B226" s="210" t="s">
        <v>213</v>
      </c>
      <c r="C226" s="210" t="s">
        <v>214</v>
      </c>
      <c r="D226" s="196" t="s">
        <v>215</v>
      </c>
    </row>
    <row r="227" ht="15.75" customHeight="1">
      <c r="A227" s="209">
        <v>2040.0</v>
      </c>
      <c r="B227" s="210" t="s">
        <v>213</v>
      </c>
      <c r="C227" s="210" t="s">
        <v>214</v>
      </c>
      <c r="D227" s="196" t="s">
        <v>215</v>
      </c>
    </row>
    <row r="228" ht="15.75" customHeight="1">
      <c r="A228" s="209">
        <v>1301.0</v>
      </c>
      <c r="B228" s="210" t="s">
        <v>224</v>
      </c>
      <c r="C228" s="210" t="s">
        <v>214</v>
      </c>
      <c r="D228" s="196" t="s">
        <v>215</v>
      </c>
    </row>
    <row r="229" ht="15.75" customHeight="1">
      <c r="A229" s="209">
        <v>1302.0</v>
      </c>
      <c r="B229" s="210" t="s">
        <v>224</v>
      </c>
      <c r="C229" s="210" t="s">
        <v>214</v>
      </c>
      <c r="D229" s="196" t="s">
        <v>215</v>
      </c>
    </row>
    <row r="230" ht="15.75" customHeight="1">
      <c r="A230" s="209">
        <v>1450.0</v>
      </c>
      <c r="B230" s="210" t="s">
        <v>216</v>
      </c>
      <c r="C230" s="210" t="s">
        <v>214</v>
      </c>
      <c r="D230" s="196" t="s">
        <v>215</v>
      </c>
    </row>
    <row r="231" ht="15.75" customHeight="1">
      <c r="A231" s="209">
        <v>1471.0</v>
      </c>
      <c r="B231" s="210" t="s">
        <v>216</v>
      </c>
      <c r="C231" s="210" t="s">
        <v>214</v>
      </c>
      <c r="D231" s="196" t="s">
        <v>215</v>
      </c>
    </row>
    <row r="232" ht="15.75" customHeight="1">
      <c r="A232" s="209">
        <v>1834.0</v>
      </c>
      <c r="B232" s="210" t="s">
        <v>221</v>
      </c>
      <c r="C232" s="210" t="s">
        <v>214</v>
      </c>
      <c r="D232" s="196" t="s">
        <v>215</v>
      </c>
    </row>
    <row r="233" ht="15.75" customHeight="1">
      <c r="A233" s="209">
        <v>1035.0</v>
      </c>
      <c r="B233" s="210" t="s">
        <v>222</v>
      </c>
      <c r="C233" s="210" t="s">
        <v>214</v>
      </c>
      <c r="D233" s="196" t="s">
        <v>215</v>
      </c>
    </row>
    <row r="234" ht="15.75" customHeight="1">
      <c r="A234" s="209">
        <v>2338.0</v>
      </c>
      <c r="B234" s="210" t="s">
        <v>213</v>
      </c>
      <c r="C234" s="210" t="s">
        <v>214</v>
      </c>
      <c r="D234" s="196" t="s">
        <v>215</v>
      </c>
    </row>
    <row r="235" ht="15.75" customHeight="1">
      <c r="A235" s="209">
        <v>1936.0</v>
      </c>
      <c r="B235" s="210" t="s">
        <v>221</v>
      </c>
      <c r="C235" s="210" t="s">
        <v>214</v>
      </c>
      <c r="D235" s="196" t="s">
        <v>215</v>
      </c>
    </row>
    <row r="236" ht="15.75" customHeight="1">
      <c r="A236" s="209">
        <v>1036.0</v>
      </c>
      <c r="B236" s="210" t="s">
        <v>219</v>
      </c>
      <c r="C236" s="210" t="s">
        <v>214</v>
      </c>
      <c r="D236" s="196" t="s">
        <v>215</v>
      </c>
    </row>
    <row r="237" ht="15.75" customHeight="1">
      <c r="A237" s="209">
        <v>2339.0</v>
      </c>
      <c r="B237" s="210" t="s">
        <v>213</v>
      </c>
      <c r="C237" s="210" t="s">
        <v>214</v>
      </c>
      <c r="D237" s="196" t="s">
        <v>215</v>
      </c>
    </row>
    <row r="238" ht="15.75" customHeight="1">
      <c r="A238" s="209">
        <v>2340.0</v>
      </c>
      <c r="B238" s="210" t="s">
        <v>213</v>
      </c>
      <c r="C238" s="210" t="s">
        <v>214</v>
      </c>
      <c r="D238" s="196" t="s">
        <v>215</v>
      </c>
    </row>
    <row r="239" ht="15.75" customHeight="1">
      <c r="A239" s="209">
        <v>1731.0</v>
      </c>
      <c r="B239" s="210" t="s">
        <v>216</v>
      </c>
      <c r="C239" s="210" t="s">
        <v>214</v>
      </c>
      <c r="D239" s="196" t="s">
        <v>215</v>
      </c>
    </row>
    <row r="240" ht="15.75" customHeight="1">
      <c r="A240" s="209">
        <v>2341.0</v>
      </c>
      <c r="B240" s="210" t="s">
        <v>213</v>
      </c>
      <c r="C240" s="210" t="s">
        <v>214</v>
      </c>
      <c r="D240" s="196" t="s">
        <v>215</v>
      </c>
    </row>
    <row r="241" ht="15.75" customHeight="1">
      <c r="A241" s="209">
        <v>1037.0</v>
      </c>
      <c r="B241" s="210" t="s">
        <v>223</v>
      </c>
      <c r="C241" s="210" t="s">
        <v>214</v>
      </c>
      <c r="D241" s="196" t="s">
        <v>215</v>
      </c>
    </row>
    <row r="242" ht="15.75" customHeight="1">
      <c r="A242" s="209">
        <v>1451.0</v>
      </c>
      <c r="B242" s="210" t="s">
        <v>223</v>
      </c>
      <c r="C242" s="210" t="s">
        <v>214</v>
      </c>
      <c r="D242" s="196" t="s">
        <v>215</v>
      </c>
    </row>
    <row r="243" ht="15.75" customHeight="1">
      <c r="A243" s="209">
        <v>2645.0</v>
      </c>
      <c r="B243" s="210" t="s">
        <v>226</v>
      </c>
      <c r="C243" s="210" t="s">
        <v>214</v>
      </c>
      <c r="D243" s="196" t="s">
        <v>215</v>
      </c>
    </row>
    <row r="244" ht="15.75" customHeight="1">
      <c r="A244" s="209">
        <v>2646.0</v>
      </c>
      <c r="B244" s="210" t="s">
        <v>226</v>
      </c>
      <c r="C244" s="210" t="s">
        <v>214</v>
      </c>
      <c r="D244" s="196" t="s">
        <v>215</v>
      </c>
    </row>
    <row r="245" ht="15.75" customHeight="1">
      <c r="A245" s="209">
        <v>1038.0</v>
      </c>
      <c r="B245" s="210" t="s">
        <v>222</v>
      </c>
      <c r="C245" s="210" t="s">
        <v>214</v>
      </c>
      <c r="D245" s="196" t="s">
        <v>215</v>
      </c>
    </row>
    <row r="246" ht="15.75" customHeight="1">
      <c r="A246" s="209">
        <v>1937.0</v>
      </c>
      <c r="B246" s="210" t="s">
        <v>221</v>
      </c>
      <c r="C246" s="210" t="s">
        <v>214</v>
      </c>
      <c r="D246" s="196" t="s">
        <v>215</v>
      </c>
    </row>
    <row r="247" ht="15.75" customHeight="1">
      <c r="A247" s="209">
        <v>1830.0</v>
      </c>
      <c r="B247" s="210" t="s">
        <v>221</v>
      </c>
      <c r="C247" s="210" t="s">
        <v>214</v>
      </c>
      <c r="D247" s="196" t="s">
        <v>215</v>
      </c>
    </row>
    <row r="248" ht="15.75" customHeight="1">
      <c r="A248" s="209">
        <v>1831.0</v>
      </c>
      <c r="B248" s="210" t="s">
        <v>221</v>
      </c>
      <c r="C248" s="210" t="s">
        <v>214</v>
      </c>
      <c r="D248" s="196" t="s">
        <v>215</v>
      </c>
    </row>
    <row r="249" ht="15.75" customHeight="1">
      <c r="A249" s="209">
        <v>1832.0</v>
      </c>
      <c r="B249" s="210" t="s">
        <v>221</v>
      </c>
      <c r="C249" s="210" t="s">
        <v>214</v>
      </c>
      <c r="D249" s="196" t="s">
        <v>215</v>
      </c>
    </row>
    <row r="250" ht="15.75" customHeight="1">
      <c r="A250" s="209">
        <v>1835.0</v>
      </c>
      <c r="B250" s="210" t="s">
        <v>221</v>
      </c>
      <c r="C250" s="210" t="s">
        <v>214</v>
      </c>
      <c r="D250" s="196" t="s">
        <v>215</v>
      </c>
    </row>
    <row r="251" ht="15.75" customHeight="1">
      <c r="A251" s="209">
        <v>1039.0</v>
      </c>
      <c r="B251" s="210" t="s">
        <v>222</v>
      </c>
      <c r="C251" s="210" t="s">
        <v>214</v>
      </c>
      <c r="D251" s="196" t="s">
        <v>215</v>
      </c>
    </row>
    <row r="252" ht="15.75" customHeight="1">
      <c r="A252" s="209">
        <v>1346.0</v>
      </c>
      <c r="B252" s="210" t="s">
        <v>224</v>
      </c>
      <c r="C252" s="210" t="s">
        <v>214</v>
      </c>
      <c r="D252" s="196" t="s">
        <v>215</v>
      </c>
    </row>
    <row r="253" ht="15.75" customHeight="1">
      <c r="A253" s="209">
        <v>2043.0</v>
      </c>
      <c r="B253" s="210" t="s">
        <v>213</v>
      </c>
      <c r="C253" s="210" t="s">
        <v>214</v>
      </c>
      <c r="D253" s="196" t="s">
        <v>215</v>
      </c>
    </row>
    <row r="254" ht="15.75" customHeight="1">
      <c r="A254" s="209">
        <v>2044.0</v>
      </c>
      <c r="B254" s="210" t="s">
        <v>213</v>
      </c>
      <c r="C254" s="210" t="s">
        <v>214</v>
      </c>
      <c r="D254" s="196" t="s">
        <v>215</v>
      </c>
    </row>
    <row r="255" ht="15.75" customHeight="1">
      <c r="A255" s="209">
        <v>1235.0</v>
      </c>
      <c r="B255" s="210" t="s">
        <v>218</v>
      </c>
      <c r="C255" s="210" t="s">
        <v>214</v>
      </c>
      <c r="D255" s="196" t="s">
        <v>215</v>
      </c>
    </row>
    <row r="256" ht="15.75" customHeight="1">
      <c r="A256" s="209">
        <v>2343.0</v>
      </c>
      <c r="B256" s="210" t="s">
        <v>225</v>
      </c>
      <c r="C256" s="210" t="s">
        <v>214</v>
      </c>
      <c r="D256" s="196" t="s">
        <v>215</v>
      </c>
    </row>
    <row r="257" ht="15.75" customHeight="1">
      <c r="A257" s="209">
        <v>1520.0</v>
      </c>
      <c r="B257" s="210" t="s">
        <v>223</v>
      </c>
      <c r="C257" s="210" t="s">
        <v>214</v>
      </c>
      <c r="D257" s="196" t="s">
        <v>215</v>
      </c>
    </row>
    <row r="258" ht="15.75" customHeight="1">
      <c r="A258" s="209">
        <v>1521.0</v>
      </c>
      <c r="B258" s="210" t="s">
        <v>219</v>
      </c>
      <c r="C258" s="210" t="s">
        <v>214</v>
      </c>
      <c r="D258" s="196" t="s">
        <v>215</v>
      </c>
    </row>
    <row r="259" ht="15.75" customHeight="1">
      <c r="A259" s="209">
        <v>1746.0</v>
      </c>
      <c r="B259" s="210" t="s">
        <v>216</v>
      </c>
      <c r="C259" s="210" t="s">
        <v>214</v>
      </c>
      <c r="D259" s="196" t="s">
        <v>215</v>
      </c>
    </row>
    <row r="260" ht="15.75" customHeight="1">
      <c r="A260" s="209">
        <v>1040.0</v>
      </c>
      <c r="B260" s="210" t="s">
        <v>219</v>
      </c>
      <c r="C260" s="210" t="s">
        <v>214</v>
      </c>
      <c r="D260" s="196" t="s">
        <v>215</v>
      </c>
    </row>
    <row r="261" ht="15.75" customHeight="1">
      <c r="A261" s="209">
        <v>1041.0</v>
      </c>
      <c r="B261" s="210" t="s">
        <v>219</v>
      </c>
      <c r="C261" s="210" t="s">
        <v>214</v>
      </c>
      <c r="D261" s="196" t="s">
        <v>215</v>
      </c>
    </row>
    <row r="262" ht="15.75" customHeight="1">
      <c r="A262" s="209">
        <v>1747.0</v>
      </c>
      <c r="B262" s="210" t="s">
        <v>223</v>
      </c>
      <c r="C262" s="210" t="s">
        <v>214</v>
      </c>
      <c r="D262" s="196" t="s">
        <v>215</v>
      </c>
    </row>
    <row r="263" ht="15.75" customHeight="1">
      <c r="A263" s="209">
        <v>1748.0</v>
      </c>
      <c r="B263" s="210" t="s">
        <v>216</v>
      </c>
      <c r="C263" s="210" t="s">
        <v>214</v>
      </c>
      <c r="D263" s="196" t="s">
        <v>215</v>
      </c>
    </row>
    <row r="264" ht="15.75" customHeight="1">
      <c r="A264" s="209">
        <v>1236.0</v>
      </c>
      <c r="B264" s="210" t="s">
        <v>218</v>
      </c>
      <c r="C264" s="210" t="s">
        <v>214</v>
      </c>
      <c r="D264" s="196" t="s">
        <v>215</v>
      </c>
    </row>
    <row r="265" ht="15.75" customHeight="1">
      <c r="A265" s="209">
        <v>1452.0</v>
      </c>
      <c r="B265" s="210" t="s">
        <v>223</v>
      </c>
      <c r="C265" s="210" t="s">
        <v>214</v>
      </c>
      <c r="D265" s="196" t="s">
        <v>215</v>
      </c>
    </row>
    <row r="266" ht="15.75" customHeight="1">
      <c r="A266" s="209">
        <v>1749.0</v>
      </c>
      <c r="B266" s="210" t="s">
        <v>216</v>
      </c>
      <c r="C266" s="210" t="s">
        <v>214</v>
      </c>
      <c r="D266" s="196" t="s">
        <v>215</v>
      </c>
    </row>
    <row r="267" ht="15.75" customHeight="1">
      <c r="A267" s="209">
        <v>2045.0</v>
      </c>
      <c r="B267" s="210" t="s">
        <v>213</v>
      </c>
      <c r="C267" s="210" t="s">
        <v>214</v>
      </c>
      <c r="D267" s="196" t="s">
        <v>215</v>
      </c>
    </row>
    <row r="268" ht="15.75" customHeight="1">
      <c r="A268" s="209">
        <v>2047.0</v>
      </c>
      <c r="B268" s="210" t="s">
        <v>213</v>
      </c>
      <c r="C268" s="210" t="s">
        <v>214</v>
      </c>
      <c r="D268" s="196" t="s">
        <v>215</v>
      </c>
    </row>
    <row r="269" ht="15.75" customHeight="1">
      <c r="A269" s="209">
        <v>1050.0</v>
      </c>
      <c r="B269" s="210" t="s">
        <v>222</v>
      </c>
      <c r="C269" s="210" t="s">
        <v>214</v>
      </c>
      <c r="D269" s="196" t="s">
        <v>215</v>
      </c>
    </row>
    <row r="270" ht="15.75" customHeight="1">
      <c r="A270" s="209">
        <v>2601.0</v>
      </c>
      <c r="B270" s="210" t="s">
        <v>226</v>
      </c>
      <c r="C270" s="210" t="s">
        <v>214</v>
      </c>
      <c r="D270" s="196" t="s">
        <v>215</v>
      </c>
    </row>
    <row r="271" ht="15.75" customHeight="1">
      <c r="A271" s="209">
        <v>2647.0</v>
      </c>
      <c r="B271" s="210" t="s">
        <v>226</v>
      </c>
      <c r="C271" s="210" t="s">
        <v>214</v>
      </c>
      <c r="D271" s="196" t="s">
        <v>215</v>
      </c>
    </row>
    <row r="272" ht="15.75" customHeight="1">
      <c r="A272" s="209">
        <v>2136.0</v>
      </c>
      <c r="B272" s="210" t="s">
        <v>220</v>
      </c>
      <c r="C272" s="210" t="s">
        <v>214</v>
      </c>
      <c r="D272" s="196" t="s">
        <v>215</v>
      </c>
    </row>
    <row r="273" ht="15.75" customHeight="1">
      <c r="A273" s="209">
        <v>1151.0</v>
      </c>
      <c r="B273" s="210" t="s">
        <v>219</v>
      </c>
      <c r="C273" s="210" t="s">
        <v>214</v>
      </c>
      <c r="D273" s="196" t="s">
        <v>215</v>
      </c>
    </row>
    <row r="274" ht="15.75" customHeight="1">
      <c r="A274" s="209">
        <v>1938.0</v>
      </c>
      <c r="B274" s="210" t="s">
        <v>221</v>
      </c>
      <c r="C274" s="210" t="s">
        <v>214</v>
      </c>
      <c r="D274" s="196" t="s">
        <v>215</v>
      </c>
    </row>
    <row r="275" ht="15.75" customHeight="1">
      <c r="A275" s="209">
        <v>2130.0</v>
      </c>
      <c r="B275" s="210" t="s">
        <v>220</v>
      </c>
      <c r="C275" s="210" t="s">
        <v>214</v>
      </c>
      <c r="D275" s="196" t="s">
        <v>215</v>
      </c>
    </row>
    <row r="276" ht="15.75" customHeight="1">
      <c r="A276" s="209">
        <v>1522.0</v>
      </c>
      <c r="B276" s="210" t="s">
        <v>223</v>
      </c>
      <c r="C276" s="210" t="s">
        <v>214</v>
      </c>
      <c r="D276" s="196" t="s">
        <v>215</v>
      </c>
    </row>
    <row r="277" ht="15.75" customHeight="1">
      <c r="A277" s="209">
        <v>2364.0</v>
      </c>
      <c r="B277" s="210" t="s">
        <v>213</v>
      </c>
      <c r="C277" s="210" t="s">
        <v>214</v>
      </c>
      <c r="D277" s="196" t="s">
        <v>215</v>
      </c>
    </row>
    <row r="278" ht="15.75" customHeight="1">
      <c r="A278" s="209">
        <v>1347.0</v>
      </c>
      <c r="B278" s="210" t="s">
        <v>224</v>
      </c>
      <c r="C278" s="210" t="s">
        <v>214</v>
      </c>
      <c r="D278" s="196" t="s">
        <v>215</v>
      </c>
    </row>
    <row r="279" ht="15.75" customHeight="1">
      <c r="A279" s="209">
        <v>2347.0</v>
      </c>
      <c r="B279" s="210" t="s">
        <v>213</v>
      </c>
      <c r="C279" s="210" t="s">
        <v>214</v>
      </c>
      <c r="D279" s="196" t="s">
        <v>215</v>
      </c>
    </row>
    <row r="280" ht="15.75" customHeight="1">
      <c r="A280" s="209">
        <v>2348.0</v>
      </c>
      <c r="B280" s="210" t="s">
        <v>213</v>
      </c>
      <c r="C280" s="210" t="s">
        <v>214</v>
      </c>
      <c r="D280" s="196" t="s">
        <v>215</v>
      </c>
    </row>
    <row r="281" ht="15.75" customHeight="1">
      <c r="A281" s="209">
        <v>1523.0</v>
      </c>
      <c r="B281" s="210" t="s">
        <v>223</v>
      </c>
      <c r="C281" s="210" t="s">
        <v>214</v>
      </c>
      <c r="D281" s="196" t="s">
        <v>215</v>
      </c>
    </row>
    <row r="282" ht="15.75" customHeight="1">
      <c r="A282" s="211">
        <v>1237.0</v>
      </c>
      <c r="B282" s="210" t="s">
        <v>218</v>
      </c>
      <c r="C282" s="210" t="s">
        <v>214</v>
      </c>
      <c r="D282" s="196" t="s">
        <v>215</v>
      </c>
    </row>
    <row r="283" ht="15.75" customHeight="1">
      <c r="A283" s="211">
        <v>1840.0</v>
      </c>
      <c r="B283" s="210" t="s">
        <v>221</v>
      </c>
      <c r="C283" s="210" t="s">
        <v>214</v>
      </c>
      <c r="D283" s="196" t="s">
        <v>215</v>
      </c>
    </row>
    <row r="284" ht="15.75" customHeight="1">
      <c r="A284" s="211">
        <v>1841.0</v>
      </c>
      <c r="B284" s="210" t="s">
        <v>221</v>
      </c>
      <c r="C284" s="210" t="s">
        <v>214</v>
      </c>
      <c r="D284" s="196" t="s">
        <v>215</v>
      </c>
    </row>
    <row r="285" ht="15.75" customHeight="1">
      <c r="A285" s="211">
        <v>1842.0</v>
      </c>
      <c r="B285" s="210" t="s">
        <v>221</v>
      </c>
      <c r="C285" s="210" t="s">
        <v>214</v>
      </c>
      <c r="D285" s="196" t="s">
        <v>215</v>
      </c>
    </row>
    <row r="286" ht="15.75" customHeight="1">
      <c r="A286" s="211">
        <v>1843.0</v>
      </c>
      <c r="B286" s="210" t="s">
        <v>221</v>
      </c>
      <c r="C286" s="210" t="s">
        <v>214</v>
      </c>
      <c r="D286" s="196" t="s">
        <v>215</v>
      </c>
    </row>
    <row r="287" ht="15.75" customHeight="1">
      <c r="A287" s="211">
        <v>1238.0</v>
      </c>
      <c r="B287" s="210" t="s">
        <v>218</v>
      </c>
      <c r="C287" s="210" t="s">
        <v>214</v>
      </c>
      <c r="D287" s="196" t="s">
        <v>215</v>
      </c>
    </row>
    <row r="288" ht="15.75" customHeight="1">
      <c r="A288" s="211">
        <v>1053.0</v>
      </c>
      <c r="B288" s="210" t="s">
        <v>222</v>
      </c>
      <c r="C288" s="210" t="s">
        <v>214</v>
      </c>
      <c r="D288" s="196" t="s">
        <v>215</v>
      </c>
    </row>
    <row r="289" ht="15.75" customHeight="1">
      <c r="A289" s="211">
        <v>1524.0</v>
      </c>
      <c r="B289" s="210" t="s">
        <v>223</v>
      </c>
      <c r="C289" s="210" t="s">
        <v>214</v>
      </c>
      <c r="D289" s="196" t="s">
        <v>215</v>
      </c>
    </row>
    <row r="290" ht="15.75" customHeight="1">
      <c r="A290" s="211">
        <v>1240.0</v>
      </c>
      <c r="B290" s="210" t="s">
        <v>218</v>
      </c>
      <c r="C290" s="210" t="s">
        <v>214</v>
      </c>
      <c r="D290" s="196" t="s">
        <v>215</v>
      </c>
    </row>
    <row r="291" ht="15.75" customHeight="1">
      <c r="A291" s="211">
        <v>1242.0</v>
      </c>
      <c r="B291" s="210" t="s">
        <v>218</v>
      </c>
      <c r="C291" s="210" t="s">
        <v>214</v>
      </c>
      <c r="D291" s="196" t="s">
        <v>215</v>
      </c>
    </row>
    <row r="292" ht="15.75" customHeight="1">
      <c r="A292" s="211">
        <v>1453.0</v>
      </c>
      <c r="B292" s="210" t="s">
        <v>223</v>
      </c>
      <c r="C292" s="210" t="s">
        <v>214</v>
      </c>
      <c r="D292" s="196" t="s">
        <v>215</v>
      </c>
    </row>
    <row r="293" ht="15.75" customHeight="1">
      <c r="A293" s="211">
        <v>1054.0</v>
      </c>
      <c r="B293" s="210" t="s">
        <v>224</v>
      </c>
      <c r="C293" s="210" t="s">
        <v>214</v>
      </c>
      <c r="D293" s="196" t="s">
        <v>215</v>
      </c>
    </row>
    <row r="294" ht="15.75" customHeight="1">
      <c r="A294" s="211">
        <v>2420.0</v>
      </c>
      <c r="B294" s="210" t="s">
        <v>216</v>
      </c>
      <c r="C294" s="210" t="s">
        <v>214</v>
      </c>
      <c r="D294" s="196" t="s">
        <v>215</v>
      </c>
    </row>
    <row r="295" ht="15.75" customHeight="1">
      <c r="A295" s="211">
        <v>2421.0</v>
      </c>
      <c r="B295" s="210" t="s">
        <v>216</v>
      </c>
      <c r="C295" s="210" t="s">
        <v>214</v>
      </c>
      <c r="D295" s="196" t="s">
        <v>215</v>
      </c>
    </row>
    <row r="296" ht="15.75" customHeight="1">
      <c r="A296" s="211">
        <v>1773.0</v>
      </c>
      <c r="B296" s="210" t="s">
        <v>216</v>
      </c>
      <c r="C296" s="210" t="s">
        <v>214</v>
      </c>
      <c r="D296" s="196" t="s">
        <v>215</v>
      </c>
    </row>
    <row r="297" ht="15.75" customHeight="1">
      <c r="A297" s="211">
        <v>1525.0</v>
      </c>
      <c r="B297" s="210" t="s">
        <v>223</v>
      </c>
      <c r="C297" s="210" t="s">
        <v>214</v>
      </c>
      <c r="D297" s="196" t="s">
        <v>215</v>
      </c>
    </row>
    <row r="298" ht="15.75" customHeight="1">
      <c r="A298" s="211">
        <v>1460.0</v>
      </c>
      <c r="B298" s="210" t="s">
        <v>216</v>
      </c>
      <c r="C298" s="210" t="s">
        <v>214</v>
      </c>
      <c r="D298" s="196" t="s">
        <v>215</v>
      </c>
    </row>
    <row r="299" ht="15.75" customHeight="1">
      <c r="A299" s="211">
        <v>1106.0</v>
      </c>
      <c r="B299" s="210" t="s">
        <v>219</v>
      </c>
      <c r="C299" s="210" t="s">
        <v>214</v>
      </c>
      <c r="D299" s="196" t="s">
        <v>215</v>
      </c>
    </row>
    <row r="300" ht="15.75" customHeight="1">
      <c r="A300" s="211">
        <v>1116.0</v>
      </c>
      <c r="B300" s="210" t="s">
        <v>219</v>
      </c>
      <c r="C300" s="210" t="s">
        <v>214</v>
      </c>
      <c r="D300" s="196" t="s">
        <v>215</v>
      </c>
    </row>
    <row r="301" ht="15.75" customHeight="1">
      <c r="A301" s="211">
        <v>1850.0</v>
      </c>
      <c r="B301" s="210" t="s">
        <v>216</v>
      </c>
      <c r="C301" s="210" t="s">
        <v>214</v>
      </c>
      <c r="D301" s="196" t="s">
        <v>215</v>
      </c>
    </row>
    <row r="302" ht="15.75" customHeight="1">
      <c r="A302" s="211">
        <v>1851.0</v>
      </c>
      <c r="B302" s="210" t="s">
        <v>216</v>
      </c>
      <c r="C302" s="210" t="s">
        <v>214</v>
      </c>
      <c r="D302" s="196" t="s">
        <v>215</v>
      </c>
    </row>
    <row r="303" ht="15.75" customHeight="1">
      <c r="A303" s="211">
        <v>1852.0</v>
      </c>
      <c r="B303" s="210" t="s">
        <v>216</v>
      </c>
      <c r="C303" s="210" t="s">
        <v>214</v>
      </c>
      <c r="D303" s="196" t="s">
        <v>215</v>
      </c>
    </row>
    <row r="304" ht="15.75" customHeight="1">
      <c r="A304" s="211">
        <v>1853.0</v>
      </c>
      <c r="B304" s="210" t="s">
        <v>216</v>
      </c>
      <c r="C304" s="210" t="s">
        <v>214</v>
      </c>
      <c r="D304" s="196" t="s">
        <v>215</v>
      </c>
    </row>
    <row r="305" ht="15.75" customHeight="1">
      <c r="A305" s="211">
        <v>1854.0</v>
      </c>
      <c r="B305" s="210" t="s">
        <v>216</v>
      </c>
      <c r="C305" s="210" t="s">
        <v>214</v>
      </c>
      <c r="D305" s="196" t="s">
        <v>215</v>
      </c>
    </row>
    <row r="306" ht="15.75" customHeight="1">
      <c r="A306" s="211">
        <v>1056.0</v>
      </c>
      <c r="B306" s="210" t="s">
        <v>219</v>
      </c>
      <c r="C306" s="210" t="s">
        <v>214</v>
      </c>
      <c r="D306" s="196" t="s">
        <v>215</v>
      </c>
    </row>
    <row r="307" ht="15.75" customHeight="1">
      <c r="A307" s="211">
        <v>1462.0</v>
      </c>
      <c r="B307" s="210" t="s">
        <v>223</v>
      </c>
      <c r="C307" s="210" t="s">
        <v>214</v>
      </c>
      <c r="D307" s="196" t="s">
        <v>215</v>
      </c>
    </row>
    <row r="308" ht="15.75" customHeight="1">
      <c r="A308" s="211">
        <v>1901.0</v>
      </c>
      <c r="B308" s="210" t="s">
        <v>221</v>
      </c>
      <c r="C308" s="210" t="s">
        <v>214</v>
      </c>
      <c r="D308" s="196" t="s">
        <v>215</v>
      </c>
    </row>
    <row r="309" ht="15.75" customHeight="1">
      <c r="A309" s="211">
        <v>1902.0</v>
      </c>
      <c r="B309" s="210" t="s">
        <v>221</v>
      </c>
      <c r="C309" s="210" t="s">
        <v>214</v>
      </c>
      <c r="D309" s="196" t="s">
        <v>215</v>
      </c>
    </row>
    <row r="310" ht="15.75" customHeight="1">
      <c r="A310" s="211">
        <v>1903.0</v>
      </c>
      <c r="B310" s="210" t="s">
        <v>221</v>
      </c>
      <c r="C310" s="210" t="s">
        <v>214</v>
      </c>
      <c r="D310" s="196" t="s">
        <v>215</v>
      </c>
    </row>
    <row r="311" ht="15.75" customHeight="1">
      <c r="A311" s="211">
        <v>1904.0</v>
      </c>
      <c r="B311" s="210" t="s">
        <v>221</v>
      </c>
      <c r="C311" s="210" t="s">
        <v>214</v>
      </c>
      <c r="D311" s="196" t="s">
        <v>215</v>
      </c>
    </row>
    <row r="312" ht="15.75" customHeight="1">
      <c r="A312" s="211">
        <v>1905.0</v>
      </c>
      <c r="B312" s="210" t="s">
        <v>221</v>
      </c>
      <c r="C312" s="210" t="s">
        <v>214</v>
      </c>
      <c r="D312" s="196" t="s">
        <v>215</v>
      </c>
    </row>
    <row r="313" ht="15.75" customHeight="1">
      <c r="A313" s="211">
        <v>1910.0</v>
      </c>
      <c r="B313" s="210" t="s">
        <v>221</v>
      </c>
      <c r="C313" s="210" t="s">
        <v>214</v>
      </c>
      <c r="D313" s="196" t="s">
        <v>215</v>
      </c>
    </row>
    <row r="314" ht="15.75" customHeight="1">
      <c r="A314" s="211">
        <v>1940.0</v>
      </c>
      <c r="B314" s="210" t="s">
        <v>221</v>
      </c>
      <c r="C314" s="210" t="s">
        <v>214</v>
      </c>
      <c r="D314" s="196" t="s">
        <v>215</v>
      </c>
    </row>
    <row r="315" ht="15.75" customHeight="1">
      <c r="A315" s="211">
        <v>2148.0</v>
      </c>
      <c r="B315" s="210" t="s">
        <v>216</v>
      </c>
      <c r="C315" s="210" t="s">
        <v>214</v>
      </c>
      <c r="D315" s="196" t="s">
        <v>215</v>
      </c>
    </row>
    <row r="316" ht="15.75" customHeight="1">
      <c r="A316" s="211">
        <v>1526.0</v>
      </c>
      <c r="B316" s="210" t="s">
        <v>223</v>
      </c>
      <c r="C316" s="210" t="s">
        <v>214</v>
      </c>
      <c r="D316" s="196" t="s">
        <v>215</v>
      </c>
    </row>
    <row r="317" ht="15.75" customHeight="1">
      <c r="A317" s="211">
        <v>1944.0</v>
      </c>
      <c r="B317" s="210" t="s">
        <v>221</v>
      </c>
      <c r="C317" s="210" t="s">
        <v>214</v>
      </c>
      <c r="D317" s="196" t="s">
        <v>215</v>
      </c>
    </row>
    <row r="318" ht="15.75" customHeight="1">
      <c r="A318" s="211">
        <v>2345.0</v>
      </c>
      <c r="B318" s="210" t="s">
        <v>213</v>
      </c>
      <c r="C318" s="210" t="s">
        <v>214</v>
      </c>
      <c r="D318" s="196" t="s">
        <v>215</v>
      </c>
    </row>
    <row r="319" ht="15.75" customHeight="1">
      <c r="A319" s="211">
        <v>2048.0</v>
      </c>
      <c r="B319" s="210" t="s">
        <v>217</v>
      </c>
      <c r="C319" s="210" t="s">
        <v>214</v>
      </c>
      <c r="D319" s="196" t="s">
        <v>215</v>
      </c>
    </row>
    <row r="320" ht="15.75" customHeight="1">
      <c r="A320" s="211">
        <v>1945.0</v>
      </c>
      <c r="B320" s="210" t="s">
        <v>221</v>
      </c>
      <c r="C320" s="210" t="s">
        <v>214</v>
      </c>
      <c r="D320" s="196" t="s">
        <v>215</v>
      </c>
    </row>
    <row r="321" ht="15.75" customHeight="1">
      <c r="A321" s="211">
        <v>2738.0</v>
      </c>
      <c r="B321" s="210" t="s">
        <v>213</v>
      </c>
      <c r="C321" s="210" t="s">
        <v>214</v>
      </c>
      <c r="D321" s="196" t="s">
        <v>215</v>
      </c>
    </row>
    <row r="322" ht="15.75" customHeight="1">
      <c r="A322" s="211">
        <v>1752.0</v>
      </c>
      <c r="B322" s="210" t="s">
        <v>216</v>
      </c>
      <c r="C322" s="210" t="s">
        <v>214</v>
      </c>
      <c r="D322" s="196" t="s">
        <v>215</v>
      </c>
    </row>
    <row r="323" ht="15.75" customHeight="1">
      <c r="A323" s="211">
        <v>2050.0</v>
      </c>
      <c r="B323" s="210" t="s">
        <v>213</v>
      </c>
      <c r="C323" s="210" t="s">
        <v>214</v>
      </c>
      <c r="D323" s="196" t="s">
        <v>215</v>
      </c>
    </row>
    <row r="324" ht="15.75" customHeight="1">
      <c r="A324" s="211">
        <v>2051.0</v>
      </c>
      <c r="B324" s="210" t="s">
        <v>213</v>
      </c>
      <c r="C324" s="210" t="s">
        <v>214</v>
      </c>
      <c r="D324" s="196" t="s">
        <v>215</v>
      </c>
    </row>
    <row r="325" ht="15.75" customHeight="1">
      <c r="A325" s="211">
        <v>2648.0</v>
      </c>
      <c r="B325" s="210" t="s">
        <v>226</v>
      </c>
      <c r="C325" s="210" t="s">
        <v>214</v>
      </c>
      <c r="D325" s="196" t="s">
        <v>215</v>
      </c>
    </row>
    <row r="326" ht="15.75" customHeight="1">
      <c r="A326" s="211">
        <v>2649.0</v>
      </c>
      <c r="B326" s="210" t="s">
        <v>226</v>
      </c>
      <c r="C326" s="210" t="s">
        <v>214</v>
      </c>
      <c r="D326" s="196" t="s">
        <v>215</v>
      </c>
    </row>
    <row r="327" ht="15.75" customHeight="1">
      <c r="A327" s="211">
        <v>2126.0</v>
      </c>
      <c r="B327" s="210" t="s">
        <v>220</v>
      </c>
      <c r="C327" s="210" t="s">
        <v>214</v>
      </c>
      <c r="D327" s="196" t="s">
        <v>215</v>
      </c>
    </row>
    <row r="328" ht="15.75" customHeight="1">
      <c r="A328" s="211">
        <v>2739.0</v>
      </c>
      <c r="B328" s="210" t="s">
        <v>213</v>
      </c>
      <c r="C328" s="210" t="s">
        <v>214</v>
      </c>
      <c r="D328" s="196" t="s">
        <v>215</v>
      </c>
    </row>
    <row r="329" ht="15.75" customHeight="1">
      <c r="A329" s="211">
        <v>1754.0</v>
      </c>
      <c r="B329" s="210" t="s">
        <v>216</v>
      </c>
      <c r="C329" s="210" t="s">
        <v>214</v>
      </c>
      <c r="D329" s="196" t="s">
        <v>215</v>
      </c>
    </row>
    <row r="330" ht="15.75" customHeight="1">
      <c r="A330" s="211">
        <v>2052.0</v>
      </c>
      <c r="B330" s="210" t="s">
        <v>225</v>
      </c>
      <c r="C330" s="210" t="s">
        <v>214</v>
      </c>
      <c r="D330" s="196" t="s">
        <v>215</v>
      </c>
    </row>
    <row r="331" ht="15.75" customHeight="1">
      <c r="A331" s="211">
        <v>2153.0</v>
      </c>
      <c r="B331" s="210" t="s">
        <v>216</v>
      </c>
      <c r="C331" s="210" t="s">
        <v>214</v>
      </c>
      <c r="D331" s="196" t="s">
        <v>215</v>
      </c>
    </row>
    <row r="332" ht="15.75" customHeight="1">
      <c r="A332" s="211">
        <v>2155.0</v>
      </c>
      <c r="B332" s="210" t="s">
        <v>216</v>
      </c>
      <c r="C332" s="210" t="s">
        <v>214</v>
      </c>
      <c r="D332" s="196" t="s">
        <v>215</v>
      </c>
    </row>
    <row r="333" ht="15.75" customHeight="1">
      <c r="A333" s="211">
        <v>2053.0</v>
      </c>
      <c r="B333" s="210" t="s">
        <v>225</v>
      </c>
      <c r="C333" s="210" t="s">
        <v>214</v>
      </c>
      <c r="D333" s="196" t="s">
        <v>215</v>
      </c>
    </row>
    <row r="334" ht="15.75" customHeight="1">
      <c r="A334" s="211">
        <v>2176.0</v>
      </c>
      <c r="B334" s="210" t="s">
        <v>216</v>
      </c>
      <c r="C334" s="210" t="s">
        <v>214</v>
      </c>
      <c r="D334" s="196" t="s">
        <v>215</v>
      </c>
    </row>
    <row r="335" ht="15.75" customHeight="1">
      <c r="A335" s="211">
        <v>1756.0</v>
      </c>
      <c r="B335" s="210" t="s">
        <v>223</v>
      </c>
      <c r="C335" s="210" t="s">
        <v>214</v>
      </c>
      <c r="D335" s="196" t="s">
        <v>215</v>
      </c>
    </row>
    <row r="336" ht="15.75" customHeight="1">
      <c r="A336" s="211">
        <v>2552.0</v>
      </c>
      <c r="B336" s="210" t="s">
        <v>227</v>
      </c>
      <c r="C336" s="210" t="s">
        <v>214</v>
      </c>
      <c r="D336" s="196" t="s">
        <v>215</v>
      </c>
    </row>
    <row r="337" ht="15.75" customHeight="1">
      <c r="A337" s="211">
        <v>1860.0</v>
      </c>
      <c r="B337" s="210" t="s">
        <v>221</v>
      </c>
      <c r="C337" s="210" t="s">
        <v>214</v>
      </c>
      <c r="D337" s="196" t="s">
        <v>215</v>
      </c>
    </row>
    <row r="338" ht="15.75" customHeight="1">
      <c r="A338" s="211">
        <v>1844.0</v>
      </c>
      <c r="B338" s="210" t="s">
        <v>221</v>
      </c>
      <c r="C338" s="210" t="s">
        <v>214</v>
      </c>
      <c r="D338" s="196" t="s">
        <v>215</v>
      </c>
    </row>
    <row r="339" ht="15.75" customHeight="1">
      <c r="A339" s="211">
        <v>2344.0</v>
      </c>
      <c r="B339" s="210" t="s">
        <v>213</v>
      </c>
      <c r="C339" s="210" t="s">
        <v>214</v>
      </c>
      <c r="D339" s="196" t="s">
        <v>215</v>
      </c>
    </row>
    <row r="340" ht="15.75" customHeight="1">
      <c r="A340" s="211">
        <v>2346.0</v>
      </c>
      <c r="B340" s="210" t="s">
        <v>213</v>
      </c>
      <c r="C340" s="210" t="s">
        <v>214</v>
      </c>
      <c r="D340" s="196" t="s">
        <v>215</v>
      </c>
    </row>
    <row r="341" ht="15.75" customHeight="1">
      <c r="A341" s="211">
        <v>2349.0</v>
      </c>
      <c r="B341" s="210" t="s">
        <v>213</v>
      </c>
      <c r="C341" s="210" t="s">
        <v>214</v>
      </c>
      <c r="D341" s="196" t="s">
        <v>215</v>
      </c>
    </row>
    <row r="342" ht="15.75" customHeight="1">
      <c r="A342" s="211">
        <v>1243.0</v>
      </c>
      <c r="B342" s="210" t="s">
        <v>222</v>
      </c>
      <c r="C342" s="210" t="s">
        <v>214</v>
      </c>
      <c r="D342" s="196" t="s">
        <v>215</v>
      </c>
    </row>
    <row r="343" ht="15.75" customHeight="1">
      <c r="A343" s="211">
        <v>1949.0</v>
      </c>
      <c r="B343" s="210" t="s">
        <v>221</v>
      </c>
      <c r="C343" s="210" t="s">
        <v>214</v>
      </c>
      <c r="D343" s="196" t="s">
        <v>215</v>
      </c>
    </row>
    <row r="344" ht="15.75" customHeight="1">
      <c r="A344" s="211">
        <v>1757.0</v>
      </c>
      <c r="B344" s="210" t="s">
        <v>223</v>
      </c>
      <c r="C344" s="210" t="s">
        <v>214</v>
      </c>
      <c r="D344" s="196" t="s">
        <v>215</v>
      </c>
    </row>
    <row r="345" ht="15.75" customHeight="1">
      <c r="A345" s="211">
        <v>1244.0</v>
      </c>
      <c r="B345" s="210" t="s">
        <v>218</v>
      </c>
      <c r="C345" s="210" t="s">
        <v>214</v>
      </c>
      <c r="D345" s="196" t="s">
        <v>215</v>
      </c>
    </row>
    <row r="346" ht="15.75" customHeight="1">
      <c r="A346" s="211">
        <v>1527.0</v>
      </c>
      <c r="B346" s="210" t="s">
        <v>223</v>
      </c>
      <c r="C346" s="210" t="s">
        <v>214</v>
      </c>
      <c r="D346" s="196" t="s">
        <v>215</v>
      </c>
    </row>
    <row r="347" ht="15.75" customHeight="1">
      <c r="A347" s="211">
        <v>1349.0</v>
      </c>
      <c r="B347" s="210" t="s">
        <v>224</v>
      </c>
      <c r="C347" s="210" t="s">
        <v>214</v>
      </c>
      <c r="D347" s="196" t="s">
        <v>215</v>
      </c>
    </row>
    <row r="348" ht="15.75" customHeight="1">
      <c r="A348" s="211">
        <v>2054.0</v>
      </c>
      <c r="B348" s="210" t="s">
        <v>225</v>
      </c>
      <c r="C348" s="210" t="s">
        <v>214</v>
      </c>
      <c r="D348" s="196" t="s">
        <v>215</v>
      </c>
    </row>
    <row r="349" ht="15.75" customHeight="1">
      <c r="A349" s="211">
        <v>1529.0</v>
      </c>
      <c r="B349" s="210" t="s">
        <v>223</v>
      </c>
      <c r="C349" s="210" t="s">
        <v>214</v>
      </c>
      <c r="D349" s="196" t="s">
        <v>215</v>
      </c>
    </row>
    <row r="350" ht="15.75" customHeight="1">
      <c r="A350" s="211">
        <v>2186.0</v>
      </c>
      <c r="B350" s="210" t="s">
        <v>225</v>
      </c>
      <c r="C350" s="210" t="s">
        <v>214</v>
      </c>
      <c r="D350" s="196" t="s">
        <v>215</v>
      </c>
    </row>
    <row r="351" ht="15.75" customHeight="1">
      <c r="A351" s="211">
        <v>2187.0</v>
      </c>
      <c r="B351" s="210" t="s">
        <v>225</v>
      </c>
      <c r="C351" s="210" t="s">
        <v>214</v>
      </c>
      <c r="D351" s="196" t="s">
        <v>215</v>
      </c>
    </row>
    <row r="352" ht="15.75" customHeight="1">
      <c r="A352" s="211">
        <v>2350.0</v>
      </c>
      <c r="B352" s="210" t="s">
        <v>213</v>
      </c>
      <c r="C352" s="210" t="s">
        <v>214</v>
      </c>
      <c r="D352" s="196" t="s">
        <v>215</v>
      </c>
    </row>
    <row r="353" ht="15.75" customHeight="1">
      <c r="A353" s="211">
        <v>1350.0</v>
      </c>
      <c r="B353" s="210" t="s">
        <v>224</v>
      </c>
      <c r="C353" s="210" t="s">
        <v>214</v>
      </c>
      <c r="D353" s="196" t="s">
        <v>215</v>
      </c>
    </row>
    <row r="354" ht="15.75" customHeight="1">
      <c r="A354" s="211">
        <v>1057.0</v>
      </c>
      <c r="B354" s="210" t="s">
        <v>219</v>
      </c>
      <c r="C354" s="210" t="s">
        <v>214</v>
      </c>
      <c r="D354" s="196" t="s">
        <v>215</v>
      </c>
    </row>
    <row r="355" ht="15.75" customHeight="1">
      <c r="A355" s="211">
        <v>1351.0</v>
      </c>
      <c r="B355" s="210" t="s">
        <v>224</v>
      </c>
      <c r="C355" s="210" t="s">
        <v>214</v>
      </c>
      <c r="D355" s="196" t="s">
        <v>215</v>
      </c>
    </row>
    <row r="356" ht="15.75" customHeight="1">
      <c r="A356" s="211">
        <v>1245.0</v>
      </c>
      <c r="B356" s="210" t="s">
        <v>218</v>
      </c>
      <c r="C356" s="210" t="s">
        <v>214</v>
      </c>
      <c r="D356" s="196" t="s">
        <v>215</v>
      </c>
    </row>
    <row r="357" ht="15.75" customHeight="1">
      <c r="A357" s="211">
        <v>2553.0</v>
      </c>
      <c r="B357" s="210" t="s">
        <v>226</v>
      </c>
      <c r="C357" s="210" t="s">
        <v>214</v>
      </c>
      <c r="D357" s="196" t="s">
        <v>215</v>
      </c>
    </row>
    <row r="358" ht="15.75" customHeight="1">
      <c r="A358" s="211">
        <v>1908.0</v>
      </c>
      <c r="B358" s="210" t="s">
        <v>221</v>
      </c>
      <c r="C358" s="210" t="s">
        <v>214</v>
      </c>
      <c r="D358" s="196" t="s">
        <v>215</v>
      </c>
    </row>
    <row r="359" ht="15.75" customHeight="1">
      <c r="A359" s="211">
        <v>2554.0</v>
      </c>
      <c r="B359" s="210" t="s">
        <v>228</v>
      </c>
      <c r="C359" s="210" t="s">
        <v>214</v>
      </c>
      <c r="D359" s="196" t="s">
        <v>215</v>
      </c>
    </row>
    <row r="360" ht="15.75" customHeight="1">
      <c r="A360" s="211">
        <v>2584.0</v>
      </c>
      <c r="B360" s="210" t="s">
        <v>228</v>
      </c>
      <c r="C360" s="210" t="s">
        <v>214</v>
      </c>
      <c r="D360" s="196" t="s">
        <v>215</v>
      </c>
    </row>
    <row r="361" ht="15.75" customHeight="1">
      <c r="A361" s="211">
        <v>1760.0</v>
      </c>
      <c r="B361" s="210" t="s">
        <v>216</v>
      </c>
      <c r="C361" s="210" t="s">
        <v>214</v>
      </c>
      <c r="D361" s="196" t="s">
        <v>215</v>
      </c>
    </row>
    <row r="362" ht="15.75" customHeight="1">
      <c r="A362" s="211">
        <v>2492.0</v>
      </c>
      <c r="B362" s="210" t="s">
        <v>225</v>
      </c>
      <c r="C362" s="210" t="s">
        <v>214</v>
      </c>
      <c r="D362" s="196" t="s">
        <v>215</v>
      </c>
    </row>
    <row r="363" ht="15.75" customHeight="1">
      <c r="A363" s="211">
        <v>2494.0</v>
      </c>
      <c r="B363" s="210" t="s">
        <v>225</v>
      </c>
      <c r="C363" s="210" t="s">
        <v>214</v>
      </c>
      <c r="D363" s="196" t="s">
        <v>215</v>
      </c>
    </row>
    <row r="364" ht="15.75" customHeight="1">
      <c r="A364" s="211">
        <v>2740.0</v>
      </c>
      <c r="B364" s="210" t="s">
        <v>217</v>
      </c>
      <c r="C364" s="210" t="s">
        <v>214</v>
      </c>
      <c r="D364" s="196" t="s">
        <v>215</v>
      </c>
    </row>
    <row r="365" ht="15.75" customHeight="1">
      <c r="A365" s="211">
        <v>2741.0</v>
      </c>
      <c r="B365" s="210" t="s">
        <v>217</v>
      </c>
      <c r="C365" s="210" t="s">
        <v>214</v>
      </c>
      <c r="D365" s="196" t="s">
        <v>215</v>
      </c>
    </row>
    <row r="366" ht="15.75" customHeight="1">
      <c r="A366" s="211">
        <v>2742.0</v>
      </c>
      <c r="B366" s="210" t="s">
        <v>217</v>
      </c>
      <c r="C366" s="210" t="s">
        <v>214</v>
      </c>
      <c r="D366" s="196" t="s">
        <v>215</v>
      </c>
    </row>
    <row r="367" ht="15.75" customHeight="1">
      <c r="A367" s="211">
        <v>2744.0</v>
      </c>
      <c r="B367" s="210" t="s">
        <v>217</v>
      </c>
      <c r="C367" s="210" t="s">
        <v>214</v>
      </c>
      <c r="D367" s="196" t="s">
        <v>215</v>
      </c>
    </row>
    <row r="368" ht="15.75" customHeight="1">
      <c r="A368" s="211">
        <v>2745.0</v>
      </c>
      <c r="B368" s="210" t="s">
        <v>217</v>
      </c>
      <c r="C368" s="210" t="s">
        <v>214</v>
      </c>
      <c r="D368" s="196" t="s">
        <v>215</v>
      </c>
    </row>
    <row r="369" ht="15.75" customHeight="1">
      <c r="A369" s="211">
        <v>2746.0</v>
      </c>
      <c r="B369" s="210" t="s">
        <v>217</v>
      </c>
      <c r="C369" s="210" t="s">
        <v>214</v>
      </c>
      <c r="D369" s="196" t="s">
        <v>215</v>
      </c>
    </row>
    <row r="370" ht="15.75" customHeight="1">
      <c r="A370" s="211">
        <v>1531.0</v>
      </c>
      <c r="B370" s="210" t="s">
        <v>223</v>
      </c>
      <c r="C370" s="210" t="s">
        <v>214</v>
      </c>
      <c r="D370" s="196" t="s">
        <v>215</v>
      </c>
    </row>
    <row r="371" ht="15.75" customHeight="1">
      <c r="A371" s="211">
        <v>1355.0</v>
      </c>
      <c r="B371" s="210" t="s">
        <v>224</v>
      </c>
      <c r="C371" s="210" t="s">
        <v>214</v>
      </c>
      <c r="D371" s="196" t="s">
        <v>215</v>
      </c>
    </row>
    <row r="372" ht="15.75" customHeight="1">
      <c r="A372" s="211">
        <v>2456.0</v>
      </c>
      <c r="B372" s="210" t="s">
        <v>216</v>
      </c>
      <c r="C372" s="210" t="s">
        <v>214</v>
      </c>
      <c r="D372" s="196" t="s">
        <v>215</v>
      </c>
    </row>
    <row r="373" ht="15.75" customHeight="1">
      <c r="A373" s="211">
        <v>1951.0</v>
      </c>
      <c r="B373" s="210" t="s">
        <v>221</v>
      </c>
      <c r="C373" s="210" t="s">
        <v>214</v>
      </c>
      <c r="D373" s="196" t="s">
        <v>215</v>
      </c>
    </row>
    <row r="374" ht="15.75" customHeight="1">
      <c r="A374" s="211">
        <v>1950.0</v>
      </c>
      <c r="B374" s="210" t="s">
        <v>221</v>
      </c>
      <c r="C374" s="210" t="s">
        <v>214</v>
      </c>
      <c r="D374" s="196" t="s">
        <v>215</v>
      </c>
    </row>
    <row r="375" ht="15.75" customHeight="1">
      <c r="A375" s="211">
        <v>2458.0</v>
      </c>
      <c r="B375" s="210" t="s">
        <v>216</v>
      </c>
      <c r="C375" s="210" t="s">
        <v>214</v>
      </c>
      <c r="D375" s="196" t="s">
        <v>215</v>
      </c>
    </row>
    <row r="376" ht="15.75" customHeight="1">
      <c r="A376" s="211">
        <v>2459.0</v>
      </c>
      <c r="B376" s="210" t="s">
        <v>216</v>
      </c>
      <c r="C376" s="210" t="s">
        <v>214</v>
      </c>
      <c r="D376" s="196" t="s">
        <v>215</v>
      </c>
    </row>
    <row r="377" ht="15.75" customHeight="1">
      <c r="A377" s="211">
        <v>2461.0</v>
      </c>
      <c r="B377" s="210" t="s">
        <v>216</v>
      </c>
      <c r="C377" s="210" t="s">
        <v>214</v>
      </c>
      <c r="D377" s="196" t="s">
        <v>215</v>
      </c>
    </row>
    <row r="378" ht="15.75" customHeight="1">
      <c r="A378" s="211">
        <v>2462.0</v>
      </c>
      <c r="B378" s="210" t="s">
        <v>216</v>
      </c>
      <c r="C378" s="210" t="s">
        <v>214</v>
      </c>
      <c r="D378" s="196" t="s">
        <v>215</v>
      </c>
    </row>
    <row r="379" ht="15.75" customHeight="1">
      <c r="A379" s="211">
        <v>2464.0</v>
      </c>
      <c r="B379" s="210" t="s">
        <v>216</v>
      </c>
      <c r="C379" s="210" t="s">
        <v>214</v>
      </c>
      <c r="D379" s="196" t="s">
        <v>215</v>
      </c>
    </row>
    <row r="380" ht="15.75" customHeight="1">
      <c r="A380" s="211">
        <v>2460.0</v>
      </c>
      <c r="B380" s="210" t="s">
        <v>216</v>
      </c>
      <c r="C380" s="210" t="s">
        <v>214</v>
      </c>
      <c r="D380" s="196" t="s">
        <v>215</v>
      </c>
    </row>
    <row r="381" ht="15.75" customHeight="1">
      <c r="A381" s="211">
        <v>2056.0</v>
      </c>
      <c r="B381" s="210" t="s">
        <v>225</v>
      </c>
      <c r="C381" s="210" t="s">
        <v>214</v>
      </c>
      <c r="D381" s="196" t="s">
        <v>215</v>
      </c>
    </row>
    <row r="382" ht="15.75" customHeight="1">
      <c r="A382" s="211">
        <v>1247.0</v>
      </c>
      <c r="B382" s="210" t="s">
        <v>218</v>
      </c>
      <c r="C382" s="210" t="s">
        <v>214</v>
      </c>
      <c r="D382" s="196" t="s">
        <v>215</v>
      </c>
    </row>
    <row r="383" ht="15.75" customHeight="1">
      <c r="A383" s="211">
        <v>1059.0</v>
      </c>
      <c r="B383" s="210" t="s">
        <v>222</v>
      </c>
      <c r="C383" s="210" t="s">
        <v>214</v>
      </c>
      <c r="D383" s="196" t="s">
        <v>215</v>
      </c>
    </row>
    <row r="384" ht="15.75" customHeight="1">
      <c r="A384" s="211">
        <v>1845.0</v>
      </c>
      <c r="B384" s="210" t="s">
        <v>221</v>
      </c>
      <c r="C384" s="210" t="s">
        <v>214</v>
      </c>
      <c r="D384" s="196" t="s">
        <v>215</v>
      </c>
    </row>
    <row r="385" ht="15.75" customHeight="1">
      <c r="A385" s="211">
        <v>2760.0</v>
      </c>
      <c r="B385" s="210" t="s">
        <v>217</v>
      </c>
      <c r="C385" s="210" t="s">
        <v>214</v>
      </c>
      <c r="D385" s="196" t="s">
        <v>215</v>
      </c>
    </row>
    <row r="386" ht="15.75" customHeight="1">
      <c r="A386" s="211">
        <v>2761.0</v>
      </c>
      <c r="B386" s="210" t="s">
        <v>217</v>
      </c>
      <c r="C386" s="210" t="s">
        <v>214</v>
      </c>
      <c r="D386" s="196" t="s">
        <v>215</v>
      </c>
    </row>
    <row r="387" ht="15.75" customHeight="1">
      <c r="A387" s="211">
        <v>1862.0</v>
      </c>
      <c r="B387" s="210" t="s">
        <v>216</v>
      </c>
      <c r="C387" s="210" t="s">
        <v>214</v>
      </c>
      <c r="D387" s="196" t="s">
        <v>215</v>
      </c>
    </row>
    <row r="388" ht="15.75" customHeight="1">
      <c r="A388" s="211">
        <v>1535.0</v>
      </c>
      <c r="B388" s="210" t="s">
        <v>223</v>
      </c>
      <c r="C388" s="210" t="s">
        <v>214</v>
      </c>
      <c r="D388" s="196" t="s">
        <v>215</v>
      </c>
    </row>
    <row r="389" ht="15.75" customHeight="1">
      <c r="A389" s="211">
        <v>2355.0</v>
      </c>
      <c r="B389" s="210" t="s">
        <v>213</v>
      </c>
      <c r="C389" s="210" t="s">
        <v>214</v>
      </c>
      <c r="D389" s="196" t="s">
        <v>215</v>
      </c>
    </row>
    <row r="390" ht="15.75" customHeight="1">
      <c r="A390" s="211">
        <v>2650.0</v>
      </c>
      <c r="B390" s="210" t="s">
        <v>226</v>
      </c>
      <c r="C390" s="210" t="s">
        <v>214</v>
      </c>
      <c r="D390" s="196" t="s">
        <v>215</v>
      </c>
    </row>
    <row r="391" ht="15.75" customHeight="1">
      <c r="A391" s="211">
        <v>1863.0</v>
      </c>
      <c r="B391" s="210" t="s">
        <v>216</v>
      </c>
      <c r="C391" s="210" t="s">
        <v>214</v>
      </c>
      <c r="D391" s="196" t="s">
        <v>215</v>
      </c>
    </row>
    <row r="392" ht="15.75" customHeight="1">
      <c r="A392" s="211">
        <v>2747.0</v>
      </c>
      <c r="B392" s="210" t="s">
        <v>217</v>
      </c>
      <c r="C392" s="210" t="s">
        <v>214</v>
      </c>
      <c r="D392" s="196" t="s">
        <v>215</v>
      </c>
    </row>
    <row r="393" ht="15.75" customHeight="1">
      <c r="A393" s="211">
        <v>2764.0</v>
      </c>
      <c r="B393" s="210" t="s">
        <v>217</v>
      </c>
      <c r="C393" s="210" t="s">
        <v>214</v>
      </c>
      <c r="D393" s="196" t="s">
        <v>215</v>
      </c>
    </row>
    <row r="394" ht="15.75" customHeight="1">
      <c r="A394" s="211">
        <v>2651.0</v>
      </c>
      <c r="B394" s="210" t="s">
        <v>226</v>
      </c>
      <c r="C394" s="210" t="s">
        <v>214</v>
      </c>
      <c r="D394" s="196" t="s">
        <v>215</v>
      </c>
    </row>
    <row r="395" ht="15.75" customHeight="1">
      <c r="A395" s="211">
        <v>2356.0</v>
      </c>
      <c r="B395" s="210" t="s">
        <v>217</v>
      </c>
      <c r="C395" s="210" t="s">
        <v>214</v>
      </c>
      <c r="D395" s="196" t="s">
        <v>215</v>
      </c>
    </row>
    <row r="396" ht="15.75" customHeight="1">
      <c r="A396" s="211">
        <v>2357.0</v>
      </c>
      <c r="B396" s="210" t="s">
        <v>217</v>
      </c>
      <c r="C396" s="210" t="s">
        <v>214</v>
      </c>
      <c r="D396" s="196" t="s">
        <v>215</v>
      </c>
    </row>
    <row r="397" ht="15.75" customHeight="1">
      <c r="A397" s="211">
        <v>1252.0</v>
      </c>
      <c r="B397" s="210" t="s">
        <v>218</v>
      </c>
      <c r="C397" s="210" t="s">
        <v>214</v>
      </c>
      <c r="D397" s="196" t="s">
        <v>215</v>
      </c>
    </row>
    <row r="398" ht="15.75" customHeight="1">
      <c r="A398" s="211">
        <v>2556.0</v>
      </c>
      <c r="B398" s="210" t="s">
        <v>226</v>
      </c>
      <c r="C398" s="210" t="s">
        <v>214</v>
      </c>
      <c r="D398" s="196" t="s">
        <v>215</v>
      </c>
    </row>
    <row r="399" ht="15.75" customHeight="1">
      <c r="A399" s="211">
        <v>1536.0</v>
      </c>
      <c r="B399" s="210" t="s">
        <v>223</v>
      </c>
      <c r="C399" s="210" t="s">
        <v>214</v>
      </c>
      <c r="D399" s="196" t="s">
        <v>215</v>
      </c>
    </row>
    <row r="400" ht="15.75" customHeight="1">
      <c r="A400" s="211">
        <v>1066.0</v>
      </c>
      <c r="B400" s="210" t="s">
        <v>222</v>
      </c>
      <c r="C400" s="210" t="s">
        <v>214</v>
      </c>
      <c r="D400" s="196" t="s">
        <v>215</v>
      </c>
    </row>
    <row r="401" ht="15.75" customHeight="1">
      <c r="A401" s="211">
        <v>2059.0</v>
      </c>
      <c r="B401" s="210" t="s">
        <v>213</v>
      </c>
      <c r="C401" s="210" t="s">
        <v>214</v>
      </c>
      <c r="D401" s="196" t="s">
        <v>215</v>
      </c>
    </row>
    <row r="402" ht="15.75" customHeight="1">
      <c r="A402" s="211">
        <v>1537.0</v>
      </c>
      <c r="B402" s="210" t="s">
        <v>223</v>
      </c>
      <c r="C402" s="210" t="s">
        <v>214</v>
      </c>
      <c r="D402" s="196" t="s">
        <v>215</v>
      </c>
    </row>
    <row r="403" ht="15.75" customHeight="1">
      <c r="A403" s="211">
        <v>2358.0</v>
      </c>
      <c r="B403" s="210" t="s">
        <v>213</v>
      </c>
      <c r="C403" s="210" t="s">
        <v>214</v>
      </c>
      <c r="D403" s="196" t="s">
        <v>215</v>
      </c>
    </row>
    <row r="404" ht="15.75" customHeight="1">
      <c r="A404" s="211">
        <v>1864.0</v>
      </c>
      <c r="B404" s="210" t="s">
        <v>216</v>
      </c>
      <c r="C404" s="210" t="s">
        <v>214</v>
      </c>
      <c r="D404" s="196" t="s">
        <v>215</v>
      </c>
    </row>
    <row r="405" ht="15.75" customHeight="1">
      <c r="A405" s="211">
        <v>1889.0</v>
      </c>
      <c r="B405" s="210" t="s">
        <v>216</v>
      </c>
      <c r="C405" s="210" t="s">
        <v>214</v>
      </c>
      <c r="D405" s="196" t="s">
        <v>215</v>
      </c>
    </row>
    <row r="406" ht="15.75" customHeight="1">
      <c r="A406" s="211">
        <v>2060.0</v>
      </c>
      <c r="B406" s="210" t="s">
        <v>213</v>
      </c>
      <c r="C406" s="210" t="s">
        <v>214</v>
      </c>
      <c r="D406" s="196" t="s">
        <v>215</v>
      </c>
    </row>
    <row r="407" ht="15.75" customHeight="1">
      <c r="A407" s="211">
        <v>2652.0</v>
      </c>
      <c r="B407" s="210" t="s">
        <v>226</v>
      </c>
      <c r="C407" s="210" t="s">
        <v>214</v>
      </c>
      <c r="D407" s="196" t="s">
        <v>215</v>
      </c>
    </row>
    <row r="408" ht="15.75" customHeight="1">
      <c r="A408" s="211">
        <v>1538.0</v>
      </c>
      <c r="B408" s="210" t="s">
        <v>223</v>
      </c>
      <c r="C408" s="210" t="s">
        <v>214</v>
      </c>
      <c r="D408" s="196" t="s">
        <v>215</v>
      </c>
    </row>
    <row r="409" ht="15.75" customHeight="1">
      <c r="A409" s="211">
        <v>2455.0</v>
      </c>
      <c r="B409" s="210" t="s">
        <v>216</v>
      </c>
      <c r="C409" s="210" t="s">
        <v>214</v>
      </c>
      <c r="D409" s="196" t="s">
        <v>215</v>
      </c>
    </row>
    <row r="410" ht="15.75" customHeight="1">
      <c r="A410" s="211">
        <v>2191.0</v>
      </c>
      <c r="B410" s="210" t="s">
        <v>225</v>
      </c>
      <c r="C410" s="210" t="s">
        <v>214</v>
      </c>
      <c r="D410" s="196" t="s">
        <v>215</v>
      </c>
    </row>
    <row r="411" ht="15.75" customHeight="1">
      <c r="A411" s="211">
        <v>1060.0</v>
      </c>
      <c r="B411" s="210" t="s">
        <v>222</v>
      </c>
      <c r="C411" s="210" t="s">
        <v>214</v>
      </c>
      <c r="D411" s="196" t="s">
        <v>215</v>
      </c>
    </row>
    <row r="412" ht="15.75" customHeight="1">
      <c r="A412" s="211">
        <v>1061.0</v>
      </c>
      <c r="B412" s="210" t="s">
        <v>222</v>
      </c>
      <c r="C412" s="210" t="s">
        <v>214</v>
      </c>
      <c r="D412" s="196" t="s">
        <v>215</v>
      </c>
    </row>
    <row r="413" ht="15.75" customHeight="1">
      <c r="A413" s="211">
        <v>1063.0</v>
      </c>
      <c r="B413" s="210" t="s">
        <v>222</v>
      </c>
      <c r="C413" s="210" t="s">
        <v>214</v>
      </c>
      <c r="D413" s="196" t="s">
        <v>215</v>
      </c>
    </row>
    <row r="414" ht="15.75" customHeight="1">
      <c r="A414" s="211">
        <v>1532.0</v>
      </c>
      <c r="B414" s="210" t="s">
        <v>223</v>
      </c>
      <c r="C414" s="210" t="s">
        <v>214</v>
      </c>
      <c r="D414" s="196" t="s">
        <v>215</v>
      </c>
    </row>
    <row r="415" ht="15.75" customHeight="1">
      <c r="A415" s="211">
        <v>1534.0</v>
      </c>
      <c r="B415" s="210" t="s">
        <v>223</v>
      </c>
      <c r="C415" s="210" t="s">
        <v>214</v>
      </c>
      <c r="D415" s="196" t="s">
        <v>215</v>
      </c>
    </row>
    <row r="416" ht="15.75" customHeight="1">
      <c r="A416" s="211">
        <v>1360.0</v>
      </c>
      <c r="B416" s="210" t="s">
        <v>224</v>
      </c>
      <c r="C416" s="210" t="s">
        <v>214</v>
      </c>
      <c r="D416" s="196" t="s">
        <v>215</v>
      </c>
    </row>
    <row r="417" ht="15.75" customHeight="1">
      <c r="A417" s="211">
        <v>2766.0</v>
      </c>
      <c r="B417" s="210" t="s">
        <v>217</v>
      </c>
      <c r="C417" s="210" t="s">
        <v>214</v>
      </c>
      <c r="D417" s="196" t="s">
        <v>215</v>
      </c>
    </row>
    <row r="418" ht="15.75" customHeight="1">
      <c r="A418" s="211">
        <v>2061.0</v>
      </c>
      <c r="B418" s="210" t="s">
        <v>213</v>
      </c>
      <c r="C418" s="210" t="s">
        <v>214</v>
      </c>
      <c r="D418" s="196" t="s">
        <v>215</v>
      </c>
    </row>
    <row r="419" ht="15.75" customHeight="1">
      <c r="A419" s="211">
        <v>2062.0</v>
      </c>
      <c r="B419" s="210" t="s">
        <v>225</v>
      </c>
      <c r="C419" s="210" t="s">
        <v>214</v>
      </c>
      <c r="D419" s="196" t="s">
        <v>215</v>
      </c>
    </row>
    <row r="420" ht="15.75" customHeight="1">
      <c r="A420" s="211">
        <v>1865.0</v>
      </c>
      <c r="B420" s="210" t="s">
        <v>216</v>
      </c>
      <c r="C420" s="210" t="s">
        <v>214</v>
      </c>
      <c r="D420" s="196" t="s">
        <v>215</v>
      </c>
    </row>
    <row r="421" ht="15.75" customHeight="1">
      <c r="A421" s="211">
        <v>2557.0</v>
      </c>
      <c r="B421" s="210" t="s">
        <v>227</v>
      </c>
      <c r="C421" s="210" t="s">
        <v>214</v>
      </c>
      <c r="D421" s="196" t="s">
        <v>215</v>
      </c>
    </row>
    <row r="422" ht="15.75" customHeight="1">
      <c r="A422" s="211">
        <v>1068.0</v>
      </c>
      <c r="B422" s="210" t="s">
        <v>223</v>
      </c>
      <c r="C422" s="210" t="s">
        <v>214</v>
      </c>
      <c r="D422" s="196" t="s">
        <v>215</v>
      </c>
    </row>
    <row r="423" ht="15.75" customHeight="1">
      <c r="A423" s="211">
        <v>2065.0</v>
      </c>
      <c r="B423" s="210" t="s">
        <v>213</v>
      </c>
      <c r="C423" s="210" t="s">
        <v>214</v>
      </c>
      <c r="D423" s="196" t="s">
        <v>215</v>
      </c>
    </row>
    <row r="424" ht="15.75" customHeight="1">
      <c r="A424" s="211">
        <v>2558.0</v>
      </c>
      <c r="B424" s="210" t="s">
        <v>213</v>
      </c>
      <c r="C424" s="210" t="s">
        <v>214</v>
      </c>
      <c r="D424" s="196" t="s">
        <v>215</v>
      </c>
    </row>
    <row r="425" ht="15.75" customHeight="1">
      <c r="A425" s="211">
        <v>1364.0</v>
      </c>
      <c r="B425" s="210" t="s">
        <v>224</v>
      </c>
      <c r="C425" s="210" t="s">
        <v>214</v>
      </c>
      <c r="D425" s="196" t="s">
        <v>215</v>
      </c>
    </row>
    <row r="426" ht="15.75" customHeight="1">
      <c r="A426" s="211">
        <v>2653.0</v>
      </c>
      <c r="B426" s="210" t="s">
        <v>226</v>
      </c>
      <c r="C426" s="210" t="s">
        <v>214</v>
      </c>
      <c r="D426" s="196" t="s">
        <v>215</v>
      </c>
    </row>
    <row r="427" ht="15.75" customHeight="1">
      <c r="A427" s="211">
        <v>2655.0</v>
      </c>
      <c r="B427" s="210" t="s">
        <v>226</v>
      </c>
      <c r="C427" s="210" t="s">
        <v>214</v>
      </c>
      <c r="D427" s="196" t="s">
        <v>215</v>
      </c>
    </row>
    <row r="428" ht="15.75" customHeight="1">
      <c r="A428" s="211">
        <v>1253.0</v>
      </c>
      <c r="B428" s="210" t="s">
        <v>218</v>
      </c>
      <c r="C428" s="210" t="s">
        <v>214</v>
      </c>
      <c r="D428" s="196" t="s">
        <v>215</v>
      </c>
    </row>
    <row r="429" ht="15.75" customHeight="1">
      <c r="A429" s="211">
        <v>1540.0</v>
      </c>
      <c r="B429" s="210" t="s">
        <v>223</v>
      </c>
      <c r="C429" s="210" t="s">
        <v>214</v>
      </c>
      <c r="D429" s="196" t="s">
        <v>215</v>
      </c>
    </row>
    <row r="430" ht="15.75" customHeight="1">
      <c r="A430" s="211">
        <v>1069.0</v>
      </c>
      <c r="B430" s="210" t="s">
        <v>219</v>
      </c>
      <c r="C430" s="210" t="s">
        <v>214</v>
      </c>
      <c r="D430" s="196" t="s">
        <v>215</v>
      </c>
    </row>
    <row r="431" ht="15.75" customHeight="1">
      <c r="A431" s="211">
        <v>1612.0</v>
      </c>
      <c r="B431" s="210" t="s">
        <v>223</v>
      </c>
      <c r="C431" s="210" t="s">
        <v>214</v>
      </c>
      <c r="D431" s="196" t="s">
        <v>215</v>
      </c>
    </row>
    <row r="432" ht="15.75" customHeight="1">
      <c r="A432" s="211">
        <v>1960.0</v>
      </c>
      <c r="B432" s="210" t="s">
        <v>221</v>
      </c>
      <c r="C432" s="210" t="s">
        <v>214</v>
      </c>
      <c r="D432" s="196" t="s">
        <v>215</v>
      </c>
    </row>
    <row r="433" ht="15.75" customHeight="1">
      <c r="A433" s="211">
        <v>1961.0</v>
      </c>
      <c r="B433" s="210" t="s">
        <v>221</v>
      </c>
      <c r="C433" s="210" t="s">
        <v>214</v>
      </c>
      <c r="D433" s="196" t="s">
        <v>215</v>
      </c>
    </row>
    <row r="434" ht="15.75" customHeight="1">
      <c r="A434" s="211">
        <v>2359.0</v>
      </c>
      <c r="B434" s="210" t="s">
        <v>213</v>
      </c>
      <c r="C434" s="210" t="s">
        <v>214</v>
      </c>
      <c r="D434" s="196" t="s">
        <v>215</v>
      </c>
    </row>
    <row r="435" ht="15.75" customHeight="1">
      <c r="A435" s="211">
        <v>1463.0</v>
      </c>
      <c r="B435" s="210" t="s">
        <v>216</v>
      </c>
      <c r="C435" s="210" t="s">
        <v>214</v>
      </c>
      <c r="D435" s="196" t="s">
        <v>215</v>
      </c>
    </row>
    <row r="436" ht="15.75" customHeight="1">
      <c r="A436" s="211">
        <v>1366.0</v>
      </c>
      <c r="B436" s="210" t="s">
        <v>223</v>
      </c>
      <c r="C436" s="210" t="s">
        <v>214</v>
      </c>
      <c r="D436" s="196" t="s">
        <v>215</v>
      </c>
    </row>
    <row r="437" ht="15.75" customHeight="1">
      <c r="A437" s="211">
        <v>1866.0</v>
      </c>
      <c r="B437" s="210" t="s">
        <v>216</v>
      </c>
      <c r="C437" s="210" t="s">
        <v>214</v>
      </c>
      <c r="D437" s="196" t="s">
        <v>215</v>
      </c>
    </row>
    <row r="438" ht="15.75" customHeight="1">
      <c r="A438" s="211">
        <v>1201.0</v>
      </c>
      <c r="B438" s="210" t="s">
        <v>218</v>
      </c>
      <c r="C438" s="210" t="s">
        <v>214</v>
      </c>
      <c r="D438" s="196" t="s">
        <v>215</v>
      </c>
    </row>
    <row r="439" ht="15.75" customHeight="1">
      <c r="A439" s="211">
        <v>1202.0</v>
      </c>
      <c r="B439" s="210" t="s">
        <v>218</v>
      </c>
      <c r="C439" s="210" t="s">
        <v>214</v>
      </c>
      <c r="D439" s="196" t="s">
        <v>215</v>
      </c>
    </row>
    <row r="440" ht="15.75" customHeight="1">
      <c r="A440" s="211">
        <v>1203.0</v>
      </c>
      <c r="B440" s="210" t="s">
        <v>218</v>
      </c>
      <c r="C440" s="210" t="s">
        <v>214</v>
      </c>
      <c r="D440" s="196" t="s">
        <v>215</v>
      </c>
    </row>
    <row r="441" ht="15.75" customHeight="1">
      <c r="A441" s="211">
        <v>1070.0</v>
      </c>
      <c r="B441" s="210" t="s">
        <v>222</v>
      </c>
      <c r="C441" s="210" t="s">
        <v>214</v>
      </c>
      <c r="D441" s="196" t="s">
        <v>215</v>
      </c>
    </row>
    <row r="442" ht="15.75" customHeight="1">
      <c r="A442" s="211">
        <v>2762.0</v>
      </c>
      <c r="B442" s="210" t="s">
        <v>225</v>
      </c>
      <c r="C442" s="210" t="s">
        <v>214</v>
      </c>
      <c r="D442" s="196" t="s">
        <v>215</v>
      </c>
    </row>
    <row r="443" ht="15.75" customHeight="1">
      <c r="A443" s="211">
        <v>2360.0</v>
      </c>
      <c r="B443" s="210" t="s">
        <v>213</v>
      </c>
      <c r="C443" s="210" t="s">
        <v>214</v>
      </c>
      <c r="D443" s="196" t="s">
        <v>215</v>
      </c>
    </row>
    <row r="444" ht="15.75" customHeight="1">
      <c r="A444" s="211">
        <v>2361.0</v>
      </c>
      <c r="B444" s="210" t="s">
        <v>213</v>
      </c>
      <c r="C444" s="210" t="s">
        <v>214</v>
      </c>
      <c r="D444" s="196" t="s">
        <v>215</v>
      </c>
    </row>
    <row r="445" ht="15.75" customHeight="1">
      <c r="A445" s="211">
        <v>2362.0</v>
      </c>
      <c r="B445" s="210" t="s">
        <v>213</v>
      </c>
      <c r="C445" s="210" t="s">
        <v>214</v>
      </c>
      <c r="D445" s="196" t="s">
        <v>215</v>
      </c>
    </row>
    <row r="446" ht="15.75" customHeight="1">
      <c r="A446" s="211">
        <v>2367.0</v>
      </c>
      <c r="B446" s="210" t="s">
        <v>213</v>
      </c>
      <c r="C446" s="210" t="s">
        <v>214</v>
      </c>
      <c r="D446" s="196" t="s">
        <v>215</v>
      </c>
    </row>
    <row r="447" ht="15.75" customHeight="1">
      <c r="A447" s="211">
        <v>2559.0</v>
      </c>
      <c r="B447" s="210" t="s">
        <v>226</v>
      </c>
      <c r="C447" s="210" t="s">
        <v>214</v>
      </c>
      <c r="D447" s="196" t="s">
        <v>215</v>
      </c>
    </row>
    <row r="448" ht="15.75" customHeight="1">
      <c r="A448" s="211">
        <v>1965.0</v>
      </c>
      <c r="B448" s="210" t="s">
        <v>221</v>
      </c>
      <c r="C448" s="210" t="s">
        <v>214</v>
      </c>
      <c r="D448" s="196" t="s">
        <v>215</v>
      </c>
    </row>
    <row r="449" ht="15.75" customHeight="1">
      <c r="A449" s="211">
        <v>1541.0</v>
      </c>
      <c r="B449" s="210" t="s">
        <v>223</v>
      </c>
      <c r="C449" s="210" t="s">
        <v>214</v>
      </c>
      <c r="D449" s="196" t="s">
        <v>215</v>
      </c>
    </row>
    <row r="450" ht="15.75" customHeight="1">
      <c r="A450" s="211">
        <v>2657.0</v>
      </c>
      <c r="B450" s="210" t="s">
        <v>226</v>
      </c>
      <c r="C450" s="210" t="s">
        <v>214</v>
      </c>
      <c r="D450" s="196" t="s">
        <v>215</v>
      </c>
    </row>
    <row r="451" ht="15.75" customHeight="1">
      <c r="A451" s="211">
        <v>2169.0</v>
      </c>
      <c r="B451" s="210" t="s">
        <v>225</v>
      </c>
      <c r="C451" s="210" t="s">
        <v>214</v>
      </c>
      <c r="D451" s="196" t="s">
        <v>215</v>
      </c>
    </row>
    <row r="452" ht="15.75" customHeight="1">
      <c r="A452" s="211">
        <v>2170.0</v>
      </c>
      <c r="B452" s="210" t="s">
        <v>225</v>
      </c>
      <c r="C452" s="210" t="s">
        <v>214</v>
      </c>
      <c r="D452" s="196" t="s">
        <v>215</v>
      </c>
    </row>
    <row r="453" ht="15.75" customHeight="1">
      <c r="A453" s="211">
        <v>2171.0</v>
      </c>
      <c r="B453" s="210" t="s">
        <v>225</v>
      </c>
      <c r="C453" s="210" t="s">
        <v>214</v>
      </c>
      <c r="D453" s="196" t="s">
        <v>215</v>
      </c>
    </row>
    <row r="454" ht="15.75" customHeight="1">
      <c r="A454" s="211">
        <v>2269.0</v>
      </c>
      <c r="B454" s="210" t="s">
        <v>225</v>
      </c>
      <c r="C454" s="210" t="s">
        <v>214</v>
      </c>
      <c r="D454" s="196" t="s">
        <v>215</v>
      </c>
    </row>
    <row r="455" ht="15.75" customHeight="1">
      <c r="A455" s="211">
        <v>2368.0</v>
      </c>
      <c r="B455" s="210" t="s">
        <v>225</v>
      </c>
      <c r="C455" s="210" t="s">
        <v>214</v>
      </c>
      <c r="D455" s="196" t="s">
        <v>215</v>
      </c>
    </row>
    <row r="456" ht="15.75" customHeight="1">
      <c r="A456" s="211">
        <v>2767.0</v>
      </c>
      <c r="B456" s="210" t="s">
        <v>217</v>
      </c>
      <c r="C456" s="210" t="s">
        <v>214</v>
      </c>
      <c r="D456" s="196" t="s">
        <v>215</v>
      </c>
    </row>
    <row r="457" ht="15.75" customHeight="1">
      <c r="A457" s="211">
        <v>2768.0</v>
      </c>
      <c r="B457" s="210" t="s">
        <v>217</v>
      </c>
      <c r="C457" s="210" t="s">
        <v>214</v>
      </c>
      <c r="D457" s="196" t="s">
        <v>215</v>
      </c>
    </row>
    <row r="458" ht="15.75" customHeight="1">
      <c r="A458" s="211">
        <v>1867.0</v>
      </c>
      <c r="B458" s="210" t="s">
        <v>216</v>
      </c>
      <c r="C458" s="210" t="s">
        <v>214</v>
      </c>
      <c r="D458" s="196" t="s">
        <v>215</v>
      </c>
    </row>
    <row r="459" ht="15.75" customHeight="1">
      <c r="A459" s="211">
        <v>2137.0</v>
      </c>
      <c r="B459" s="210" t="s">
        <v>220</v>
      </c>
      <c r="C459" s="210" t="s">
        <v>214</v>
      </c>
      <c r="D459" s="196" t="s">
        <v>215</v>
      </c>
    </row>
    <row r="460" ht="15.75" customHeight="1">
      <c r="A460" s="211">
        <v>2769.0</v>
      </c>
      <c r="B460" s="210" t="s">
        <v>217</v>
      </c>
      <c r="C460" s="210" t="s">
        <v>214</v>
      </c>
      <c r="D460" s="196" t="s">
        <v>215</v>
      </c>
    </row>
    <row r="461" ht="15.75" customHeight="1">
      <c r="A461" s="211">
        <v>2151.0</v>
      </c>
      <c r="B461" s="210" t="s">
        <v>220</v>
      </c>
      <c r="C461" s="210" t="s">
        <v>214</v>
      </c>
      <c r="D461" s="196" t="s">
        <v>215</v>
      </c>
    </row>
    <row r="462" ht="15.75" customHeight="1">
      <c r="A462" s="211">
        <v>1254.0</v>
      </c>
      <c r="B462" s="210" t="s">
        <v>218</v>
      </c>
      <c r="C462" s="210" t="s">
        <v>214</v>
      </c>
      <c r="D462" s="196" t="s">
        <v>215</v>
      </c>
    </row>
    <row r="463" ht="15.75" customHeight="1">
      <c r="A463" s="211">
        <v>1542.0</v>
      </c>
      <c r="B463" s="210" t="s">
        <v>223</v>
      </c>
      <c r="C463" s="210" t="s">
        <v>214</v>
      </c>
      <c r="D463" s="196" t="s">
        <v>215</v>
      </c>
    </row>
    <row r="464" ht="15.75" customHeight="1">
      <c r="A464" s="211">
        <v>2770.0</v>
      </c>
      <c r="B464" s="210" t="s">
        <v>213</v>
      </c>
      <c r="C464" s="210" t="s">
        <v>214</v>
      </c>
      <c r="D464" s="196" t="s">
        <v>215</v>
      </c>
    </row>
    <row r="465" ht="15.75" customHeight="1">
      <c r="A465" s="211">
        <v>2370.0</v>
      </c>
      <c r="B465" s="210" t="s">
        <v>213</v>
      </c>
      <c r="C465" s="210" t="s">
        <v>214</v>
      </c>
      <c r="D465" s="196" t="s">
        <v>215</v>
      </c>
    </row>
    <row r="466" ht="15.75" customHeight="1">
      <c r="A466" s="211">
        <v>1966.0</v>
      </c>
      <c r="B466" s="210" t="s">
        <v>221</v>
      </c>
      <c r="C466" s="210" t="s">
        <v>214</v>
      </c>
      <c r="D466" s="196" t="s">
        <v>215</v>
      </c>
    </row>
    <row r="467" ht="15.75" customHeight="1">
      <c r="A467" s="211">
        <v>2131.0</v>
      </c>
      <c r="B467" s="210" t="s">
        <v>220</v>
      </c>
      <c r="C467" s="210" t="s">
        <v>214</v>
      </c>
      <c r="D467" s="196" t="s">
        <v>215</v>
      </c>
    </row>
    <row r="468" ht="15.75" customHeight="1">
      <c r="A468" s="211">
        <v>1367.0</v>
      </c>
      <c r="B468" s="210" t="s">
        <v>224</v>
      </c>
      <c r="C468" s="210" t="s">
        <v>214</v>
      </c>
      <c r="D468" s="196" t="s">
        <v>215</v>
      </c>
    </row>
    <row r="469" ht="15.75" customHeight="1">
      <c r="A469" s="211">
        <v>1969.0</v>
      </c>
      <c r="B469" s="210" t="s">
        <v>221</v>
      </c>
      <c r="C469" s="210" t="s">
        <v>214</v>
      </c>
      <c r="D469" s="196" t="s">
        <v>215</v>
      </c>
    </row>
    <row r="470" ht="15.75" customHeight="1">
      <c r="A470" s="211">
        <v>2119.0</v>
      </c>
      <c r="B470" s="210" t="s">
        <v>220</v>
      </c>
      <c r="C470" s="210" t="s">
        <v>214</v>
      </c>
      <c r="D470" s="196" t="s">
        <v>215</v>
      </c>
    </row>
    <row r="471" ht="15.75" customHeight="1">
      <c r="A471" s="211">
        <v>2120.0</v>
      </c>
      <c r="B471" s="210" t="s">
        <v>220</v>
      </c>
      <c r="C471" s="210" t="s">
        <v>214</v>
      </c>
      <c r="D471" s="196" t="s">
        <v>215</v>
      </c>
    </row>
    <row r="472" ht="15.75" customHeight="1">
      <c r="A472" s="211">
        <v>1368.0</v>
      </c>
      <c r="B472" s="210" t="s">
        <v>223</v>
      </c>
      <c r="C472" s="210" t="s">
        <v>214</v>
      </c>
      <c r="D472" s="196" t="s">
        <v>215</v>
      </c>
    </row>
    <row r="473" ht="15.75" customHeight="1">
      <c r="A473" s="211">
        <v>1071.0</v>
      </c>
      <c r="B473" s="210" t="s">
        <v>219</v>
      </c>
      <c r="C473" s="210" t="s">
        <v>214</v>
      </c>
      <c r="D473" s="196" t="s">
        <v>215</v>
      </c>
    </row>
    <row r="474" ht="15.75" customHeight="1">
      <c r="A474" s="211">
        <v>1543.0</v>
      </c>
      <c r="B474" s="210" t="s">
        <v>223</v>
      </c>
      <c r="C474" s="210" t="s">
        <v>214</v>
      </c>
      <c r="D474" s="196" t="s">
        <v>215</v>
      </c>
    </row>
    <row r="475" ht="15.75" customHeight="1">
      <c r="A475" s="211">
        <v>2561.0</v>
      </c>
      <c r="B475" s="210" t="s">
        <v>226</v>
      </c>
      <c r="C475" s="210" t="s">
        <v>214</v>
      </c>
      <c r="D475" s="196" t="s">
        <v>215</v>
      </c>
    </row>
    <row r="476" ht="15.75" customHeight="1">
      <c r="A476" s="211">
        <v>2562.0</v>
      </c>
      <c r="B476" s="210" t="s">
        <v>226</v>
      </c>
      <c r="C476" s="210" t="s">
        <v>214</v>
      </c>
      <c r="D476" s="196" t="s">
        <v>215</v>
      </c>
    </row>
    <row r="477" ht="15.75" customHeight="1">
      <c r="A477" s="211">
        <v>1970.0</v>
      </c>
      <c r="B477" s="210" t="s">
        <v>221</v>
      </c>
      <c r="C477" s="210" t="s">
        <v>214</v>
      </c>
      <c r="D477" s="196" t="s">
        <v>215</v>
      </c>
    </row>
    <row r="478" ht="15.75" customHeight="1">
      <c r="A478" s="211">
        <v>1952.0</v>
      </c>
      <c r="B478" s="210" t="s">
        <v>221</v>
      </c>
      <c r="C478" s="210" t="s">
        <v>214</v>
      </c>
      <c r="D478" s="196" t="s">
        <v>215</v>
      </c>
    </row>
    <row r="479" ht="15.75" customHeight="1">
      <c r="A479" s="211">
        <v>1255.0</v>
      </c>
      <c r="B479" s="210" t="s">
        <v>218</v>
      </c>
      <c r="C479" s="210" t="s">
        <v>214</v>
      </c>
      <c r="D479" s="196" t="s">
        <v>215</v>
      </c>
    </row>
    <row r="480" ht="15.75" customHeight="1">
      <c r="A480" s="211">
        <v>2563.0</v>
      </c>
      <c r="B480" s="210" t="s">
        <v>226</v>
      </c>
      <c r="C480" s="210" t="s">
        <v>214</v>
      </c>
      <c r="D480" s="196" t="s">
        <v>215</v>
      </c>
    </row>
    <row r="481" ht="15.75" customHeight="1">
      <c r="A481" s="211">
        <v>1906.0</v>
      </c>
      <c r="B481" s="210" t="s">
        <v>221</v>
      </c>
      <c r="C481" s="210" t="s">
        <v>214</v>
      </c>
      <c r="D481" s="196" t="s">
        <v>215</v>
      </c>
    </row>
    <row r="482" ht="15.75" customHeight="1">
      <c r="A482" s="211">
        <v>1256.0</v>
      </c>
      <c r="B482" s="210" t="s">
        <v>218</v>
      </c>
      <c r="C482" s="210" t="s">
        <v>214</v>
      </c>
      <c r="D482" s="196" t="s">
        <v>215</v>
      </c>
    </row>
    <row r="483" ht="15.75" customHeight="1">
      <c r="A483" s="211">
        <v>2066.0</v>
      </c>
      <c r="B483" s="210" t="s">
        <v>213</v>
      </c>
      <c r="C483" s="210" t="s">
        <v>214</v>
      </c>
      <c r="D483" s="196" t="s">
        <v>215</v>
      </c>
    </row>
    <row r="484" ht="15.75" customHeight="1">
      <c r="A484" s="211">
        <v>2771.0</v>
      </c>
      <c r="B484" s="210" t="s">
        <v>217</v>
      </c>
      <c r="C484" s="210" t="s">
        <v>214</v>
      </c>
      <c r="D484" s="196" t="s">
        <v>215</v>
      </c>
    </row>
    <row r="485" ht="15.75" customHeight="1">
      <c r="A485" s="211">
        <v>2067.0</v>
      </c>
      <c r="B485" s="210" t="s">
        <v>225</v>
      </c>
      <c r="C485" s="210" t="s">
        <v>214</v>
      </c>
      <c r="D485" s="196" t="s">
        <v>215</v>
      </c>
    </row>
    <row r="486" ht="15.75" customHeight="1">
      <c r="A486" s="211">
        <v>1257.0</v>
      </c>
      <c r="B486" s="210" t="s">
        <v>218</v>
      </c>
      <c r="C486" s="210" t="s">
        <v>214</v>
      </c>
      <c r="D486" s="196" t="s">
        <v>215</v>
      </c>
    </row>
    <row r="487" ht="15.75" customHeight="1">
      <c r="A487" s="211">
        <v>1370.0</v>
      </c>
      <c r="B487" s="210" t="s">
        <v>224</v>
      </c>
      <c r="C487" s="210" t="s">
        <v>214</v>
      </c>
      <c r="D487" s="196" t="s">
        <v>215</v>
      </c>
    </row>
    <row r="488" ht="15.75" customHeight="1">
      <c r="A488" s="211">
        <v>2070.0</v>
      </c>
      <c r="B488" s="210" t="s">
        <v>225</v>
      </c>
      <c r="C488" s="210" t="s">
        <v>214</v>
      </c>
      <c r="D488" s="196" t="s">
        <v>215</v>
      </c>
    </row>
    <row r="489" ht="15.75" customHeight="1">
      <c r="A489" s="211">
        <v>1770.0</v>
      </c>
      <c r="B489" s="210" t="s">
        <v>216</v>
      </c>
      <c r="C489" s="210" t="s">
        <v>214</v>
      </c>
      <c r="D489" s="196" t="s">
        <v>215</v>
      </c>
    </row>
    <row r="490" ht="15.75" customHeight="1">
      <c r="A490" s="211">
        <v>1464.0</v>
      </c>
      <c r="B490" s="210" t="s">
        <v>216</v>
      </c>
      <c r="C490" s="210" t="s">
        <v>214</v>
      </c>
      <c r="D490" s="196" t="s">
        <v>215</v>
      </c>
    </row>
    <row r="491" ht="15.75" customHeight="1">
      <c r="A491" s="211">
        <v>1545.0</v>
      </c>
      <c r="B491" s="210" t="s">
        <v>223</v>
      </c>
      <c r="C491" s="210" t="s">
        <v>214</v>
      </c>
      <c r="D491" s="196" t="s">
        <v>215</v>
      </c>
    </row>
    <row r="492" ht="15.75" customHeight="1">
      <c r="A492" s="211">
        <v>1546.0</v>
      </c>
      <c r="B492" s="210" t="s">
        <v>223</v>
      </c>
      <c r="C492" s="210" t="s">
        <v>214</v>
      </c>
      <c r="D492" s="196" t="s">
        <v>215</v>
      </c>
    </row>
    <row r="493" ht="15.75" customHeight="1">
      <c r="A493" s="211">
        <v>1072.0</v>
      </c>
      <c r="B493" s="210" t="s">
        <v>224</v>
      </c>
      <c r="C493" s="210" t="s">
        <v>214</v>
      </c>
      <c r="D493" s="196" t="s">
        <v>215</v>
      </c>
    </row>
    <row r="494" ht="15.75" customHeight="1">
      <c r="A494" s="211">
        <v>2564.0</v>
      </c>
      <c r="B494" s="210" t="s">
        <v>228</v>
      </c>
      <c r="C494" s="210" t="s">
        <v>214</v>
      </c>
      <c r="D494" s="196" t="s">
        <v>215</v>
      </c>
    </row>
    <row r="495" ht="15.75" customHeight="1">
      <c r="A495" s="211">
        <v>2725.0</v>
      </c>
      <c r="B495" s="210" t="s">
        <v>217</v>
      </c>
      <c r="C495" s="210" t="s">
        <v>214</v>
      </c>
      <c r="D495" s="196" t="s">
        <v>215</v>
      </c>
    </row>
    <row r="496" ht="15.75" customHeight="1">
      <c r="A496" s="211">
        <v>2726.0</v>
      </c>
      <c r="B496" s="210" t="s">
        <v>217</v>
      </c>
      <c r="C496" s="210" t="s">
        <v>214</v>
      </c>
      <c r="D496" s="196" t="s">
        <v>215</v>
      </c>
    </row>
    <row r="497" ht="15.75" customHeight="1">
      <c r="A497" s="211">
        <v>2143.0</v>
      </c>
      <c r="B497" s="210" t="s">
        <v>216</v>
      </c>
      <c r="C497" s="210" t="s">
        <v>214</v>
      </c>
      <c r="D497" s="196" t="s">
        <v>215</v>
      </c>
    </row>
    <row r="498" ht="15.75" customHeight="1">
      <c r="A498" s="211">
        <v>2144.0</v>
      </c>
      <c r="B498" s="210" t="s">
        <v>216</v>
      </c>
      <c r="C498" s="210" t="s">
        <v>214</v>
      </c>
      <c r="D498" s="196" t="s">
        <v>215</v>
      </c>
    </row>
    <row r="499" ht="15.75" customHeight="1">
      <c r="A499" s="211">
        <v>2145.0</v>
      </c>
      <c r="B499" s="210" t="s">
        <v>216</v>
      </c>
      <c r="C499" s="210" t="s">
        <v>214</v>
      </c>
      <c r="D499" s="196" t="s">
        <v>215</v>
      </c>
    </row>
    <row r="500" ht="15.75" customHeight="1">
      <c r="A500" s="211">
        <v>1074.0</v>
      </c>
      <c r="B500" s="210" t="s">
        <v>223</v>
      </c>
      <c r="C500" s="210" t="s">
        <v>214</v>
      </c>
      <c r="D500" s="196" t="s">
        <v>215</v>
      </c>
    </row>
    <row r="501" ht="15.75" customHeight="1">
      <c r="A501" s="211">
        <v>2366.0</v>
      </c>
      <c r="B501" s="210" t="s">
        <v>213</v>
      </c>
      <c r="C501" s="210" t="s">
        <v>214</v>
      </c>
      <c r="D501" s="196" t="s">
        <v>215</v>
      </c>
    </row>
    <row r="502" ht="15.75" customHeight="1">
      <c r="A502" s="211">
        <v>2659.0</v>
      </c>
      <c r="B502" s="210" t="s">
        <v>226</v>
      </c>
      <c r="C502" s="210" t="s">
        <v>214</v>
      </c>
      <c r="D502" s="196" t="s">
        <v>215</v>
      </c>
    </row>
    <row r="503" ht="15.75" customHeight="1">
      <c r="A503" s="211">
        <v>2748.0</v>
      </c>
      <c r="B503" s="210" t="s">
        <v>217</v>
      </c>
      <c r="C503" s="210" t="s">
        <v>214</v>
      </c>
      <c r="D503" s="196" t="s">
        <v>215</v>
      </c>
    </row>
    <row r="504" ht="15.75" customHeight="1">
      <c r="A504" s="211">
        <v>1373.0</v>
      </c>
      <c r="B504" s="210" t="s">
        <v>224</v>
      </c>
      <c r="C504" s="210" t="s">
        <v>214</v>
      </c>
      <c r="D504" s="196" t="s">
        <v>215</v>
      </c>
    </row>
    <row r="505" ht="15.75" customHeight="1">
      <c r="A505" s="211">
        <v>2660.0</v>
      </c>
      <c r="B505" s="210" t="s">
        <v>226</v>
      </c>
      <c r="C505" s="210" t="s">
        <v>214</v>
      </c>
      <c r="D505" s="196" t="s">
        <v>215</v>
      </c>
    </row>
    <row r="506" ht="15.75" customHeight="1">
      <c r="A506" s="211">
        <v>2375.0</v>
      </c>
      <c r="B506" s="210" t="s">
        <v>217</v>
      </c>
      <c r="C506" s="210" t="s">
        <v>214</v>
      </c>
      <c r="D506" s="196" t="s">
        <v>215</v>
      </c>
    </row>
    <row r="507" ht="15.75" customHeight="1">
      <c r="A507" s="211">
        <v>1258.0</v>
      </c>
      <c r="B507" s="210" t="s">
        <v>218</v>
      </c>
      <c r="C507" s="210" t="s">
        <v>214</v>
      </c>
      <c r="D507" s="196" t="s">
        <v>215</v>
      </c>
    </row>
    <row r="508" ht="15.75" customHeight="1">
      <c r="A508" s="211">
        <v>1560.0</v>
      </c>
      <c r="B508" s="210" t="s">
        <v>223</v>
      </c>
      <c r="C508" s="210" t="s">
        <v>214</v>
      </c>
      <c r="D508" s="196" t="s">
        <v>215</v>
      </c>
    </row>
    <row r="509" ht="15.75" customHeight="1">
      <c r="A509" s="211">
        <v>1075.0</v>
      </c>
      <c r="B509" s="210" t="s">
        <v>222</v>
      </c>
      <c r="C509" s="210" t="s">
        <v>214</v>
      </c>
      <c r="D509" s="196" t="s">
        <v>215</v>
      </c>
    </row>
    <row r="510" ht="15.75" customHeight="1">
      <c r="A510" s="211">
        <v>1982.0</v>
      </c>
      <c r="B510" s="210" t="s">
        <v>221</v>
      </c>
      <c r="C510" s="210" t="s">
        <v>214</v>
      </c>
      <c r="D510" s="196" t="s">
        <v>215</v>
      </c>
    </row>
    <row r="511" ht="15.75" customHeight="1">
      <c r="A511" s="211">
        <v>2661.0</v>
      </c>
      <c r="B511" s="210" t="s">
        <v>226</v>
      </c>
      <c r="C511" s="210" t="s">
        <v>214</v>
      </c>
      <c r="D511" s="196" t="s">
        <v>215</v>
      </c>
    </row>
    <row r="512" ht="15.75" customHeight="1">
      <c r="A512" s="211">
        <v>1561.0</v>
      </c>
      <c r="B512" s="210" t="s">
        <v>223</v>
      </c>
      <c r="C512" s="210" t="s">
        <v>214</v>
      </c>
      <c r="D512" s="196" t="s">
        <v>215</v>
      </c>
    </row>
    <row r="513" ht="15.75" customHeight="1">
      <c r="A513" s="211">
        <v>1260.0</v>
      </c>
      <c r="B513" s="210" t="s">
        <v>218</v>
      </c>
      <c r="C513" s="210" t="s">
        <v>214</v>
      </c>
      <c r="D513" s="196" t="s">
        <v>215</v>
      </c>
    </row>
    <row r="514" ht="15.75" customHeight="1">
      <c r="A514" s="211">
        <v>2662.0</v>
      </c>
      <c r="B514" s="210" t="s">
        <v>226</v>
      </c>
      <c r="C514" s="210" t="s">
        <v>214</v>
      </c>
      <c r="D514" s="196" t="s">
        <v>215</v>
      </c>
    </row>
    <row r="515" ht="15.75" customHeight="1">
      <c r="A515" s="211">
        <v>2071.0</v>
      </c>
      <c r="B515" s="210" t="s">
        <v>225</v>
      </c>
      <c r="C515" s="210" t="s">
        <v>214</v>
      </c>
      <c r="D515" s="196" t="s">
        <v>215</v>
      </c>
    </row>
    <row r="516" ht="15.75" customHeight="1">
      <c r="A516" s="211">
        <v>2663.0</v>
      </c>
      <c r="B516" s="210" t="s">
        <v>226</v>
      </c>
      <c r="C516" s="210" t="s">
        <v>214</v>
      </c>
      <c r="D516" s="196" t="s">
        <v>215</v>
      </c>
    </row>
    <row r="517" ht="15.75" customHeight="1">
      <c r="A517" s="211">
        <v>2190.0</v>
      </c>
      <c r="B517" s="210" t="s">
        <v>225</v>
      </c>
      <c r="C517" s="210" t="s">
        <v>214</v>
      </c>
      <c r="D517" s="196" t="s">
        <v>215</v>
      </c>
    </row>
    <row r="518" ht="15.75" customHeight="1">
      <c r="A518" s="211">
        <v>2664.0</v>
      </c>
      <c r="B518" s="210" t="s">
        <v>226</v>
      </c>
      <c r="C518" s="210" t="s">
        <v>214</v>
      </c>
      <c r="D518" s="196" t="s">
        <v>215</v>
      </c>
    </row>
    <row r="519" ht="15.75" customHeight="1">
      <c r="A519" s="211">
        <v>1073.0</v>
      </c>
      <c r="B519" s="210" t="s">
        <v>222</v>
      </c>
      <c r="C519" s="210" t="s">
        <v>214</v>
      </c>
      <c r="D519" s="196" t="s">
        <v>215</v>
      </c>
    </row>
    <row r="520" ht="15.75" customHeight="1">
      <c r="A520" s="211">
        <v>1772.0</v>
      </c>
      <c r="B520" s="210" t="s">
        <v>223</v>
      </c>
      <c r="C520" s="210" t="s">
        <v>214</v>
      </c>
      <c r="D520" s="196" t="s">
        <v>215</v>
      </c>
    </row>
    <row r="521" ht="15.75" customHeight="1">
      <c r="A521" s="211">
        <v>1550.0</v>
      </c>
      <c r="B521" s="210" t="s">
        <v>223</v>
      </c>
      <c r="C521" s="210" t="s">
        <v>214</v>
      </c>
      <c r="D521" s="196" t="s">
        <v>215</v>
      </c>
    </row>
    <row r="522" ht="15.75" customHeight="1">
      <c r="A522" s="211">
        <v>1259.0</v>
      </c>
      <c r="B522" s="210" t="s">
        <v>218</v>
      </c>
      <c r="C522" s="210" t="s">
        <v>214</v>
      </c>
      <c r="D522" s="196" t="s">
        <v>215</v>
      </c>
    </row>
    <row r="523" ht="15.75" customHeight="1">
      <c r="A523" s="211">
        <v>1077.0</v>
      </c>
      <c r="B523" s="210" t="s">
        <v>219</v>
      </c>
      <c r="C523" s="210" t="s">
        <v>214</v>
      </c>
      <c r="D523" s="196" t="s">
        <v>215</v>
      </c>
    </row>
    <row r="524" ht="15.75" customHeight="1">
      <c r="A524" s="211">
        <v>1562.0</v>
      </c>
      <c r="B524" s="210" t="s">
        <v>223</v>
      </c>
      <c r="C524" s="210" t="s">
        <v>214</v>
      </c>
      <c r="D524" s="196" t="s">
        <v>215</v>
      </c>
    </row>
    <row r="525" ht="15.75" customHeight="1">
      <c r="A525" s="211">
        <v>1101.0</v>
      </c>
      <c r="B525" s="210" t="s">
        <v>219</v>
      </c>
      <c r="C525" s="210" t="s">
        <v>214</v>
      </c>
      <c r="D525" s="196" t="s">
        <v>215</v>
      </c>
    </row>
    <row r="526" ht="15.75" customHeight="1">
      <c r="A526" s="211">
        <v>1102.0</v>
      </c>
      <c r="B526" s="210" t="s">
        <v>219</v>
      </c>
      <c r="C526" s="210" t="s">
        <v>214</v>
      </c>
      <c r="D526" s="196" t="s">
        <v>215</v>
      </c>
    </row>
    <row r="527" ht="15.75" customHeight="1">
      <c r="A527" s="211">
        <v>1103.0</v>
      </c>
      <c r="B527" s="210" t="s">
        <v>219</v>
      </c>
      <c r="C527" s="210" t="s">
        <v>214</v>
      </c>
      <c r="D527" s="196" t="s">
        <v>215</v>
      </c>
    </row>
    <row r="528" ht="15.75" customHeight="1">
      <c r="A528" s="211">
        <v>1104.0</v>
      </c>
      <c r="B528" s="210" t="s">
        <v>219</v>
      </c>
      <c r="C528" s="210" t="s">
        <v>214</v>
      </c>
      <c r="D528" s="196" t="s">
        <v>215</v>
      </c>
    </row>
    <row r="529" ht="15.75" customHeight="1">
      <c r="A529" s="211">
        <v>1105.0</v>
      </c>
      <c r="B529" s="210" t="s">
        <v>219</v>
      </c>
      <c r="C529" s="210" t="s">
        <v>214</v>
      </c>
      <c r="D529" s="196" t="s">
        <v>215</v>
      </c>
    </row>
    <row r="530" ht="15.75" customHeight="1">
      <c r="A530" s="211">
        <v>1107.0</v>
      </c>
      <c r="B530" s="210" t="s">
        <v>219</v>
      </c>
      <c r="C530" s="210" t="s">
        <v>214</v>
      </c>
      <c r="D530" s="196" t="s">
        <v>215</v>
      </c>
    </row>
    <row r="531" ht="15.75" customHeight="1">
      <c r="A531" s="211">
        <v>1108.0</v>
      </c>
      <c r="B531" s="210" t="s">
        <v>219</v>
      </c>
      <c r="C531" s="210" t="s">
        <v>214</v>
      </c>
      <c r="D531" s="196" t="s">
        <v>215</v>
      </c>
    </row>
    <row r="532" ht="15.75" customHeight="1">
      <c r="A532" s="211">
        <v>1109.0</v>
      </c>
      <c r="B532" s="210" t="s">
        <v>219</v>
      </c>
      <c r="C532" s="210" t="s">
        <v>214</v>
      </c>
      <c r="D532" s="196" t="s">
        <v>215</v>
      </c>
    </row>
    <row r="533" ht="15.75" customHeight="1">
      <c r="A533" s="211">
        <v>1111.0</v>
      </c>
      <c r="B533" s="210" t="s">
        <v>219</v>
      </c>
      <c r="C533" s="210" t="s">
        <v>214</v>
      </c>
      <c r="D533" s="196" t="s">
        <v>215</v>
      </c>
    </row>
    <row r="534" ht="15.75" customHeight="1">
      <c r="A534" s="211">
        <v>1115.0</v>
      </c>
      <c r="B534" s="210" t="s">
        <v>219</v>
      </c>
      <c r="C534" s="210" t="s">
        <v>214</v>
      </c>
      <c r="D534" s="196" t="s">
        <v>215</v>
      </c>
    </row>
    <row r="535" ht="15.75" customHeight="1">
      <c r="A535" s="211">
        <v>1118.0</v>
      </c>
      <c r="B535" s="210" t="s">
        <v>219</v>
      </c>
      <c r="C535" s="210" t="s">
        <v>214</v>
      </c>
      <c r="D535" s="196" t="s">
        <v>215</v>
      </c>
    </row>
    <row r="536" ht="15.75" customHeight="1">
      <c r="A536" s="211">
        <v>1119.0</v>
      </c>
      <c r="B536" s="210" t="s">
        <v>219</v>
      </c>
      <c r="C536" s="210" t="s">
        <v>214</v>
      </c>
      <c r="D536" s="196" t="s">
        <v>215</v>
      </c>
    </row>
    <row r="537" ht="15.75" customHeight="1">
      <c r="A537" s="211">
        <v>1128.0</v>
      </c>
      <c r="B537" s="210" t="s">
        <v>219</v>
      </c>
      <c r="C537" s="210" t="s">
        <v>214</v>
      </c>
      <c r="D537" s="196" t="s">
        <v>215</v>
      </c>
    </row>
    <row r="538" ht="15.75" customHeight="1">
      <c r="A538" s="211">
        <v>1129.0</v>
      </c>
      <c r="B538" s="210" t="s">
        <v>219</v>
      </c>
      <c r="C538" s="210" t="s">
        <v>214</v>
      </c>
      <c r="D538" s="196" t="s">
        <v>215</v>
      </c>
    </row>
    <row r="539" ht="15.75" customHeight="1">
      <c r="A539" s="211">
        <v>1138.0</v>
      </c>
      <c r="B539" s="210" t="s">
        <v>219</v>
      </c>
      <c r="C539" s="210" t="s">
        <v>214</v>
      </c>
      <c r="D539" s="196" t="s">
        <v>215</v>
      </c>
    </row>
    <row r="540" ht="15.75" customHeight="1">
      <c r="A540" s="211">
        <v>1139.0</v>
      </c>
      <c r="B540" s="210" t="s">
        <v>219</v>
      </c>
      <c r="C540" s="210" t="s">
        <v>214</v>
      </c>
      <c r="D540" s="196" t="s">
        <v>215</v>
      </c>
    </row>
    <row r="541" ht="15.75" customHeight="1">
      <c r="A541" s="211">
        <v>1144.0</v>
      </c>
      <c r="B541" s="210" t="s">
        <v>219</v>
      </c>
      <c r="C541" s="210" t="s">
        <v>214</v>
      </c>
      <c r="D541" s="196" t="s">
        <v>215</v>
      </c>
    </row>
    <row r="542" ht="15.75" customHeight="1">
      <c r="A542" s="211">
        <v>1152.0</v>
      </c>
      <c r="B542" s="210" t="s">
        <v>219</v>
      </c>
      <c r="C542" s="210" t="s">
        <v>214</v>
      </c>
      <c r="D542" s="196" t="s">
        <v>215</v>
      </c>
    </row>
    <row r="543" ht="15.75" customHeight="1">
      <c r="A543" s="211">
        <v>1199.0</v>
      </c>
      <c r="B543" s="210" t="s">
        <v>219</v>
      </c>
      <c r="C543" s="210" t="s">
        <v>214</v>
      </c>
      <c r="D543" s="196" t="s">
        <v>215</v>
      </c>
    </row>
    <row r="544" ht="15.75" customHeight="1">
      <c r="A544" s="211">
        <v>1564.0</v>
      </c>
      <c r="B544" s="210" t="s">
        <v>223</v>
      </c>
      <c r="C544" s="210" t="s">
        <v>214</v>
      </c>
      <c r="D544" s="196" t="s">
        <v>215</v>
      </c>
    </row>
    <row r="545" ht="15.75" customHeight="1">
      <c r="A545" s="211">
        <v>1467.0</v>
      </c>
      <c r="B545" s="210" t="s">
        <v>223</v>
      </c>
      <c r="C545" s="210" t="s">
        <v>214</v>
      </c>
      <c r="D545" s="196" t="s">
        <v>215</v>
      </c>
    </row>
    <row r="546" ht="15.75" customHeight="1">
      <c r="A546" s="211">
        <v>1262.0</v>
      </c>
      <c r="B546" s="210" t="s">
        <v>218</v>
      </c>
      <c r="C546" s="210" t="s">
        <v>214</v>
      </c>
      <c r="D546" s="196" t="s">
        <v>215</v>
      </c>
    </row>
    <row r="547" ht="15.75" customHeight="1">
      <c r="A547" s="211">
        <v>2180.0</v>
      </c>
      <c r="B547" s="210" t="s">
        <v>216</v>
      </c>
      <c r="C547" s="210" t="s">
        <v>214</v>
      </c>
      <c r="D547" s="196" t="s">
        <v>215</v>
      </c>
    </row>
    <row r="548" ht="15.75" customHeight="1">
      <c r="A548" s="211">
        <v>2072.0</v>
      </c>
      <c r="B548" s="210" t="s">
        <v>225</v>
      </c>
      <c r="C548" s="210" t="s">
        <v>214</v>
      </c>
      <c r="D548" s="196" t="s">
        <v>215</v>
      </c>
    </row>
    <row r="549" ht="15.75" customHeight="1">
      <c r="A549" s="211">
        <v>1775.0</v>
      </c>
      <c r="B549" s="210" t="s">
        <v>216</v>
      </c>
      <c r="C549" s="210" t="s">
        <v>214</v>
      </c>
      <c r="D549" s="196" t="s">
        <v>215</v>
      </c>
    </row>
    <row r="550" ht="15.75" customHeight="1">
      <c r="A550" s="211">
        <v>1566.0</v>
      </c>
      <c r="B550" s="210" t="s">
        <v>223</v>
      </c>
      <c r="C550" s="210" t="s">
        <v>214</v>
      </c>
      <c r="D550" s="196" t="s">
        <v>215</v>
      </c>
    </row>
    <row r="551" ht="15.75" customHeight="1">
      <c r="A551" s="211">
        <v>1776.0</v>
      </c>
      <c r="B551" s="210" t="s">
        <v>216</v>
      </c>
      <c r="C551" s="210" t="s">
        <v>214</v>
      </c>
      <c r="D551" s="196" t="s">
        <v>215</v>
      </c>
    </row>
    <row r="552" ht="15.75" customHeight="1">
      <c r="A552" s="211">
        <v>1375.0</v>
      </c>
      <c r="B552" s="210" t="s">
        <v>224</v>
      </c>
      <c r="C552" s="210" t="s">
        <v>214</v>
      </c>
      <c r="D552" s="196" t="s">
        <v>215</v>
      </c>
    </row>
    <row r="553" ht="15.75" customHeight="1">
      <c r="A553" s="211">
        <v>1590.0</v>
      </c>
      <c r="B553" s="210" t="s">
        <v>223</v>
      </c>
      <c r="C553" s="210" t="s">
        <v>214</v>
      </c>
      <c r="D553" s="196" t="s">
        <v>215</v>
      </c>
    </row>
    <row r="554" ht="15.75" customHeight="1">
      <c r="A554" s="211">
        <v>1907.0</v>
      </c>
      <c r="B554" s="210" t="s">
        <v>221</v>
      </c>
      <c r="C554" s="210" t="s">
        <v>214</v>
      </c>
      <c r="D554" s="196" t="s">
        <v>215</v>
      </c>
    </row>
    <row r="555" ht="15.75" customHeight="1">
      <c r="A555" s="211">
        <v>2777.0</v>
      </c>
      <c r="B555" s="210" t="s">
        <v>217</v>
      </c>
      <c r="C555" s="210" t="s">
        <v>214</v>
      </c>
      <c r="D555" s="196" t="s">
        <v>215</v>
      </c>
    </row>
    <row r="556" ht="15.75" customHeight="1">
      <c r="A556" s="211">
        <v>2780.0</v>
      </c>
      <c r="B556" s="210" t="s">
        <v>217</v>
      </c>
      <c r="C556" s="210" t="s">
        <v>214</v>
      </c>
      <c r="D556" s="196" t="s">
        <v>215</v>
      </c>
    </row>
    <row r="557" ht="15.75" customHeight="1">
      <c r="A557" s="211">
        <v>1468.0</v>
      </c>
      <c r="B557" s="210" t="s">
        <v>223</v>
      </c>
      <c r="C557" s="210" t="s">
        <v>214</v>
      </c>
      <c r="D557" s="196" t="s">
        <v>215</v>
      </c>
    </row>
    <row r="558" ht="15.75" customHeight="1">
      <c r="A558" s="211">
        <v>1876.0</v>
      </c>
      <c r="B558" s="210" t="s">
        <v>216</v>
      </c>
      <c r="C558" s="210" t="s">
        <v>214</v>
      </c>
      <c r="D558" s="196" t="s">
        <v>215</v>
      </c>
    </row>
    <row r="559" ht="15.75" customHeight="1">
      <c r="A559" s="211">
        <v>1079.0</v>
      </c>
      <c r="B559" s="210" t="s">
        <v>219</v>
      </c>
      <c r="C559" s="210" t="s">
        <v>214</v>
      </c>
      <c r="D559" s="196" t="s">
        <v>215</v>
      </c>
    </row>
    <row r="560" ht="15.75" customHeight="1">
      <c r="A560" s="211">
        <v>1080.0</v>
      </c>
      <c r="B560" s="210" t="s">
        <v>219</v>
      </c>
      <c r="C560" s="210" t="s">
        <v>214</v>
      </c>
      <c r="D560" s="196" t="s">
        <v>215</v>
      </c>
    </row>
    <row r="561" ht="15.75" customHeight="1">
      <c r="A561" s="211">
        <v>1983.0</v>
      </c>
      <c r="B561" s="210" t="s">
        <v>221</v>
      </c>
      <c r="C561" s="210" t="s">
        <v>214</v>
      </c>
      <c r="D561" s="196" t="s">
        <v>215</v>
      </c>
    </row>
    <row r="562" ht="15.75" customHeight="1">
      <c r="A562" s="211">
        <v>1469.0</v>
      </c>
      <c r="B562" s="210" t="s">
        <v>216</v>
      </c>
      <c r="C562" s="210" t="s">
        <v>214</v>
      </c>
      <c r="D562" s="196" t="s">
        <v>215</v>
      </c>
    </row>
    <row r="563" ht="15.75" customHeight="1">
      <c r="A563" s="211">
        <v>2666.0</v>
      </c>
      <c r="B563" s="210" t="s">
        <v>226</v>
      </c>
      <c r="C563" s="210" t="s">
        <v>214</v>
      </c>
      <c r="D563" s="196" t="s">
        <v>215</v>
      </c>
    </row>
    <row r="564" ht="15.75" customHeight="1">
      <c r="A564" s="211">
        <v>1376.0</v>
      </c>
      <c r="B564" s="210" t="s">
        <v>224</v>
      </c>
      <c r="C564" s="210" t="s">
        <v>214</v>
      </c>
      <c r="D564" s="196" t="s">
        <v>215</v>
      </c>
    </row>
    <row r="565" ht="15.75" customHeight="1">
      <c r="A565" s="211">
        <v>1879.0</v>
      </c>
      <c r="B565" s="210" t="s">
        <v>216</v>
      </c>
      <c r="C565" s="210" t="s">
        <v>214</v>
      </c>
      <c r="D565" s="196" t="s">
        <v>215</v>
      </c>
    </row>
    <row r="566" ht="15.75" customHeight="1">
      <c r="A566" s="211">
        <v>1264.0</v>
      </c>
      <c r="B566" s="210" t="s">
        <v>218</v>
      </c>
      <c r="C566" s="210" t="s">
        <v>214</v>
      </c>
      <c r="D566" s="196" t="s">
        <v>215</v>
      </c>
    </row>
    <row r="567" ht="15.75" customHeight="1">
      <c r="A567" s="211">
        <v>1568.0</v>
      </c>
      <c r="B567" s="210" t="s">
        <v>223</v>
      </c>
      <c r="C567" s="210" t="s">
        <v>214</v>
      </c>
      <c r="D567" s="196" t="s">
        <v>215</v>
      </c>
    </row>
    <row r="568" ht="15.75" customHeight="1">
      <c r="A568" s="211">
        <v>1569.0</v>
      </c>
      <c r="B568" s="210" t="s">
        <v>223</v>
      </c>
      <c r="C568" s="210" t="s">
        <v>214</v>
      </c>
      <c r="D568" s="196" t="s">
        <v>215</v>
      </c>
    </row>
    <row r="569" ht="15.75" customHeight="1">
      <c r="A569" s="211">
        <v>1718.0</v>
      </c>
      <c r="B569" s="210" t="s">
        <v>216</v>
      </c>
      <c r="C569" s="210" t="s">
        <v>214</v>
      </c>
      <c r="D569" s="196" t="s">
        <v>215</v>
      </c>
    </row>
    <row r="570" ht="15.75" customHeight="1">
      <c r="A570" s="211">
        <v>2568.0</v>
      </c>
      <c r="B570" s="210" t="s">
        <v>227</v>
      </c>
      <c r="C570" s="210" t="s">
        <v>214</v>
      </c>
      <c r="D570" s="196" t="s">
        <v>215</v>
      </c>
    </row>
    <row r="571" ht="15.75" customHeight="1">
      <c r="A571" s="211">
        <v>2468.0</v>
      </c>
      <c r="B571" s="210" t="s">
        <v>216</v>
      </c>
      <c r="C571" s="210" t="s">
        <v>214</v>
      </c>
      <c r="D571" s="196" t="s">
        <v>215</v>
      </c>
    </row>
    <row r="572" ht="15.75" customHeight="1">
      <c r="A572" s="211">
        <v>1880.0</v>
      </c>
      <c r="B572" s="210" t="s">
        <v>216</v>
      </c>
      <c r="C572" s="210" t="s">
        <v>214</v>
      </c>
      <c r="D572" s="196" t="s">
        <v>215</v>
      </c>
    </row>
    <row r="573" ht="15.75" customHeight="1">
      <c r="A573" s="211">
        <v>1081.0</v>
      </c>
      <c r="B573" s="210" t="s">
        <v>219</v>
      </c>
      <c r="C573" s="210" t="s">
        <v>214</v>
      </c>
      <c r="D573" s="196" t="s">
        <v>215</v>
      </c>
    </row>
    <row r="574" ht="15.75" customHeight="1">
      <c r="A574" s="211">
        <v>2081.0</v>
      </c>
      <c r="B574" s="210" t="s">
        <v>225</v>
      </c>
      <c r="C574" s="210" t="s">
        <v>214</v>
      </c>
      <c r="D574" s="196" t="s">
        <v>215</v>
      </c>
    </row>
    <row r="575" ht="15.75" customHeight="1">
      <c r="A575" s="211">
        <v>2451.0</v>
      </c>
      <c r="B575" s="210" t="s">
        <v>216</v>
      </c>
      <c r="C575" s="210" t="s">
        <v>214</v>
      </c>
      <c r="D575" s="196" t="s">
        <v>215</v>
      </c>
    </row>
    <row r="576" ht="15.75" customHeight="1">
      <c r="A576" s="211">
        <v>2452.0</v>
      </c>
      <c r="B576" s="210" t="s">
        <v>216</v>
      </c>
      <c r="C576" s="210" t="s">
        <v>214</v>
      </c>
      <c r="D576" s="196" t="s">
        <v>215</v>
      </c>
    </row>
    <row r="577" ht="15.75" customHeight="1">
      <c r="A577" s="211">
        <v>2453.0</v>
      </c>
      <c r="B577" s="210" t="s">
        <v>216</v>
      </c>
      <c r="C577" s="210" t="s">
        <v>214</v>
      </c>
      <c r="D577" s="196" t="s">
        <v>215</v>
      </c>
    </row>
    <row r="578" ht="15.75" customHeight="1">
      <c r="A578" s="211">
        <v>2454.0</v>
      </c>
      <c r="B578" s="210" t="s">
        <v>216</v>
      </c>
      <c r="C578" s="210" t="s">
        <v>214</v>
      </c>
      <c r="D578" s="196" t="s">
        <v>215</v>
      </c>
    </row>
    <row r="579" ht="15.75" customHeight="1">
      <c r="A579" s="211">
        <v>1082.0</v>
      </c>
      <c r="B579" s="210" t="s">
        <v>222</v>
      </c>
      <c r="C579" s="210" t="s">
        <v>214</v>
      </c>
      <c r="D579" s="196" t="s">
        <v>215</v>
      </c>
    </row>
    <row r="580" ht="15.75" customHeight="1">
      <c r="A580" s="211">
        <v>2571.0</v>
      </c>
      <c r="B580" s="210" t="s">
        <v>213</v>
      </c>
      <c r="C580" s="210" t="s">
        <v>214</v>
      </c>
      <c r="D580" s="196" t="s">
        <v>215</v>
      </c>
    </row>
    <row r="581" ht="15.75" customHeight="1">
      <c r="A581" s="211">
        <v>1083.0</v>
      </c>
      <c r="B581" s="210" t="s">
        <v>223</v>
      </c>
      <c r="C581" s="210" t="s">
        <v>214</v>
      </c>
      <c r="D581" s="196" t="s">
        <v>215</v>
      </c>
    </row>
    <row r="582" ht="15.75" customHeight="1">
      <c r="A582" s="211">
        <v>1378.0</v>
      </c>
      <c r="B582" s="210" t="s">
        <v>224</v>
      </c>
      <c r="C582" s="210" t="s">
        <v>214</v>
      </c>
      <c r="D582" s="196" t="s">
        <v>215</v>
      </c>
    </row>
    <row r="583" ht="15.75" customHeight="1">
      <c r="A583" s="211">
        <v>2471.0</v>
      </c>
      <c r="B583" s="210" t="s">
        <v>216</v>
      </c>
      <c r="C583" s="210" t="s">
        <v>214</v>
      </c>
      <c r="D583" s="196" t="s">
        <v>215</v>
      </c>
    </row>
    <row r="584" ht="15.75" customHeight="1">
      <c r="A584" s="211">
        <v>2472.0</v>
      </c>
      <c r="B584" s="210" t="s">
        <v>216</v>
      </c>
      <c r="C584" s="210" t="s">
        <v>214</v>
      </c>
      <c r="D584" s="196" t="s">
        <v>215</v>
      </c>
    </row>
    <row r="585" ht="15.75" customHeight="1">
      <c r="A585" s="211">
        <v>2479.0</v>
      </c>
      <c r="B585" s="210" t="s">
        <v>216</v>
      </c>
      <c r="C585" s="210" t="s">
        <v>214</v>
      </c>
      <c r="D585" s="196" t="s">
        <v>215</v>
      </c>
    </row>
    <row r="586" ht="15.75" customHeight="1">
      <c r="A586" s="211">
        <v>1778.0</v>
      </c>
      <c r="B586" s="210" t="s">
        <v>216</v>
      </c>
      <c r="C586" s="210" t="s">
        <v>214</v>
      </c>
      <c r="D586" s="196" t="s">
        <v>215</v>
      </c>
    </row>
    <row r="587" ht="15.75" customHeight="1">
      <c r="A587" s="211">
        <v>1570.0</v>
      </c>
      <c r="B587" s="210" t="s">
        <v>223</v>
      </c>
      <c r="C587" s="210" t="s">
        <v>214</v>
      </c>
      <c r="D587" s="196" t="s">
        <v>215</v>
      </c>
    </row>
    <row r="588" ht="15.75" customHeight="1">
      <c r="A588" s="211">
        <v>2482.0</v>
      </c>
      <c r="B588" s="210" t="s">
        <v>225</v>
      </c>
      <c r="C588" s="210" t="s">
        <v>214</v>
      </c>
      <c r="D588" s="196" t="s">
        <v>215</v>
      </c>
    </row>
    <row r="589" ht="15.75" customHeight="1">
      <c r="A589" s="211">
        <v>2481.0</v>
      </c>
      <c r="B589" s="210" t="s">
        <v>225</v>
      </c>
      <c r="C589" s="210" t="s">
        <v>214</v>
      </c>
      <c r="D589" s="196" t="s">
        <v>215</v>
      </c>
    </row>
    <row r="590" ht="15.75" customHeight="1">
      <c r="A590" s="211">
        <v>2667.0</v>
      </c>
      <c r="B590" s="210" t="s">
        <v>226</v>
      </c>
      <c r="C590" s="210" t="s">
        <v>214</v>
      </c>
      <c r="D590" s="196" t="s">
        <v>215</v>
      </c>
    </row>
    <row r="591" ht="15.75" customHeight="1">
      <c r="A591" s="211">
        <v>1379.0</v>
      </c>
      <c r="B591" s="210" t="s">
        <v>224</v>
      </c>
      <c r="C591" s="210" t="s">
        <v>214</v>
      </c>
      <c r="D591" s="196" t="s">
        <v>215</v>
      </c>
    </row>
    <row r="592" ht="15.75" customHeight="1">
      <c r="A592" s="211">
        <v>1380.0</v>
      </c>
      <c r="B592" s="210" t="s">
        <v>224</v>
      </c>
      <c r="C592" s="210" t="s">
        <v>214</v>
      </c>
      <c r="D592" s="196" t="s">
        <v>215</v>
      </c>
    </row>
    <row r="593" ht="15.75" customHeight="1">
      <c r="A593" s="211">
        <v>1984.0</v>
      </c>
      <c r="B593" s="210" t="s">
        <v>221</v>
      </c>
      <c r="C593" s="210" t="s">
        <v>214</v>
      </c>
      <c r="D593" s="196" t="s">
        <v>215</v>
      </c>
    </row>
    <row r="594" ht="15.75" customHeight="1">
      <c r="A594" s="211">
        <v>2668.0</v>
      </c>
      <c r="B594" s="210" t="s">
        <v>226</v>
      </c>
      <c r="C594" s="210" t="s">
        <v>214</v>
      </c>
      <c r="D594" s="196" t="s">
        <v>215</v>
      </c>
    </row>
    <row r="595" ht="15.75" customHeight="1">
      <c r="A595" s="211">
        <v>1885.0</v>
      </c>
      <c r="B595" s="210" t="s">
        <v>221</v>
      </c>
      <c r="C595" s="210" t="s">
        <v>214</v>
      </c>
      <c r="D595" s="196" t="s">
        <v>215</v>
      </c>
    </row>
    <row r="596" ht="15.75" customHeight="1">
      <c r="A596" s="211">
        <v>1583.0</v>
      </c>
      <c r="B596" s="210" t="s">
        <v>223</v>
      </c>
      <c r="C596" s="210" t="s">
        <v>214</v>
      </c>
      <c r="D596" s="196" t="s">
        <v>215</v>
      </c>
    </row>
    <row r="597" ht="15.75" customHeight="1">
      <c r="A597" s="211">
        <v>2379.0</v>
      </c>
      <c r="B597" s="210" t="s">
        <v>213</v>
      </c>
      <c r="C597" s="210" t="s">
        <v>214</v>
      </c>
      <c r="D597" s="196" t="s">
        <v>215</v>
      </c>
    </row>
    <row r="598" ht="15.75" customHeight="1">
      <c r="A598" s="211">
        <v>1585.0</v>
      </c>
      <c r="B598" s="210" t="s">
        <v>223</v>
      </c>
      <c r="C598" s="210" t="s">
        <v>214</v>
      </c>
      <c r="D598" s="196" t="s">
        <v>215</v>
      </c>
    </row>
    <row r="599" ht="15.75" customHeight="1">
      <c r="A599" s="211">
        <v>2669.0</v>
      </c>
      <c r="B599" s="210" t="s">
        <v>226</v>
      </c>
      <c r="C599" s="210" t="s">
        <v>214</v>
      </c>
      <c r="D599" s="196" t="s">
        <v>215</v>
      </c>
    </row>
    <row r="600" ht="15.75" customHeight="1">
      <c r="A600" s="211">
        <v>1084.0</v>
      </c>
      <c r="B600" s="210" t="s">
        <v>222</v>
      </c>
      <c r="C600" s="210" t="s">
        <v>214</v>
      </c>
      <c r="D600" s="196" t="s">
        <v>215</v>
      </c>
    </row>
    <row r="601" ht="15.75" customHeight="1">
      <c r="A601" s="211">
        <v>2670.0</v>
      </c>
      <c r="B601" s="210" t="s">
        <v>226</v>
      </c>
      <c r="C601" s="210" t="s">
        <v>214</v>
      </c>
      <c r="D601" s="196" t="s">
        <v>215</v>
      </c>
    </row>
    <row r="602" ht="15.75" customHeight="1">
      <c r="A602" s="211">
        <v>2574.0</v>
      </c>
      <c r="B602" s="210" t="s">
        <v>226</v>
      </c>
      <c r="C602" s="210" t="s">
        <v>214</v>
      </c>
      <c r="D602" s="196" t="s">
        <v>215</v>
      </c>
    </row>
    <row r="603" ht="15.75" customHeight="1">
      <c r="A603" s="211">
        <v>1472.0</v>
      </c>
      <c r="B603" s="210" t="s">
        <v>216</v>
      </c>
      <c r="C603" s="210" t="s">
        <v>214</v>
      </c>
      <c r="D603" s="196" t="s">
        <v>215</v>
      </c>
    </row>
    <row r="604" ht="15.75" customHeight="1">
      <c r="A604" s="211">
        <v>2671.0</v>
      </c>
      <c r="B604" s="210" t="s">
        <v>226</v>
      </c>
      <c r="C604" s="210" t="s">
        <v>214</v>
      </c>
      <c r="D604" s="196" t="s">
        <v>215</v>
      </c>
    </row>
    <row r="605" ht="15.75" customHeight="1">
      <c r="A605" s="211">
        <v>1088.0</v>
      </c>
      <c r="B605" s="210" t="s">
        <v>222</v>
      </c>
      <c r="C605" s="210" t="s">
        <v>214</v>
      </c>
      <c r="D605" s="196" t="s">
        <v>215</v>
      </c>
    </row>
    <row r="606" ht="15.75" customHeight="1">
      <c r="A606" s="211">
        <v>2672.0</v>
      </c>
      <c r="B606" s="210" t="s">
        <v>226</v>
      </c>
      <c r="C606" s="210" t="s">
        <v>214</v>
      </c>
      <c r="D606" s="196" t="s">
        <v>215</v>
      </c>
    </row>
    <row r="607" ht="15.75" customHeight="1">
      <c r="A607" s="211">
        <v>2156.0</v>
      </c>
      <c r="B607" s="210" t="s">
        <v>216</v>
      </c>
      <c r="C607" s="210" t="s">
        <v>214</v>
      </c>
      <c r="D607" s="196" t="s">
        <v>215</v>
      </c>
    </row>
    <row r="608" ht="15.75" customHeight="1">
      <c r="A608" s="211">
        <v>1985.0</v>
      </c>
      <c r="B608" s="210" t="s">
        <v>221</v>
      </c>
      <c r="C608" s="210" t="s">
        <v>214</v>
      </c>
      <c r="D608" s="196" t="s">
        <v>215</v>
      </c>
    </row>
    <row r="609" ht="15.75" customHeight="1">
      <c r="A609" s="211">
        <v>2465.0</v>
      </c>
      <c r="B609" s="210" t="s">
        <v>216</v>
      </c>
      <c r="C609" s="210" t="s">
        <v>214</v>
      </c>
      <c r="D609" s="196" t="s">
        <v>215</v>
      </c>
    </row>
    <row r="610" ht="15.75" customHeight="1">
      <c r="A610" s="211">
        <v>2132.0</v>
      </c>
      <c r="B610" s="210" t="s">
        <v>220</v>
      </c>
      <c r="C610" s="210" t="s">
        <v>214</v>
      </c>
      <c r="D610" s="196" t="s">
        <v>215</v>
      </c>
    </row>
    <row r="611" ht="15.75" customHeight="1">
      <c r="A611" s="211">
        <v>1089.0</v>
      </c>
      <c r="B611" s="210" t="s">
        <v>219</v>
      </c>
      <c r="C611" s="210" t="s">
        <v>214</v>
      </c>
      <c r="D611" s="196" t="s">
        <v>215</v>
      </c>
    </row>
    <row r="612" ht="15.75" customHeight="1">
      <c r="A612" s="211">
        <v>1090.0</v>
      </c>
      <c r="B612" s="210" t="s">
        <v>219</v>
      </c>
      <c r="C612" s="210" t="s">
        <v>214</v>
      </c>
      <c r="D612" s="196" t="s">
        <v>215</v>
      </c>
    </row>
    <row r="613" ht="15.75" customHeight="1">
      <c r="A613" s="211">
        <v>1266.0</v>
      </c>
      <c r="B613" s="210" t="s">
        <v>218</v>
      </c>
      <c r="C613" s="210" t="s">
        <v>214</v>
      </c>
      <c r="D613" s="196" t="s">
        <v>215</v>
      </c>
    </row>
    <row r="614" ht="15.75" customHeight="1">
      <c r="A614" s="211">
        <v>2575.0</v>
      </c>
      <c r="B614" s="210" t="s">
        <v>227</v>
      </c>
      <c r="C614" s="210" t="s">
        <v>214</v>
      </c>
      <c r="D614" s="196" t="s">
        <v>215</v>
      </c>
    </row>
    <row r="615" ht="15.75" customHeight="1">
      <c r="A615" s="211">
        <v>1474.0</v>
      </c>
      <c r="B615" s="210" t="s">
        <v>216</v>
      </c>
      <c r="C615" s="210" t="s">
        <v>214</v>
      </c>
      <c r="D615" s="196" t="s">
        <v>215</v>
      </c>
    </row>
    <row r="616" ht="15.75" customHeight="1">
      <c r="A616" s="211">
        <v>2576.0</v>
      </c>
      <c r="B616" s="210" t="s">
        <v>213</v>
      </c>
      <c r="C616" s="210" t="s">
        <v>214</v>
      </c>
      <c r="D616" s="196" t="s">
        <v>215</v>
      </c>
    </row>
    <row r="617" ht="15.75" customHeight="1">
      <c r="A617" s="211">
        <v>1092.0</v>
      </c>
      <c r="B617" s="210" t="s">
        <v>223</v>
      </c>
      <c r="C617" s="210" t="s">
        <v>214</v>
      </c>
      <c r="D617" s="196" t="s">
        <v>215</v>
      </c>
    </row>
    <row r="618" ht="15.75" customHeight="1">
      <c r="A618" s="211">
        <v>2673.0</v>
      </c>
      <c r="B618" s="210" t="s">
        <v>226</v>
      </c>
      <c r="C618" s="210" t="s">
        <v>214</v>
      </c>
      <c r="D618" s="196" t="s">
        <v>215</v>
      </c>
    </row>
    <row r="619" ht="15.75" customHeight="1">
      <c r="A619" s="211">
        <v>1581.0</v>
      </c>
      <c r="B619" s="210" t="s">
        <v>223</v>
      </c>
      <c r="C619" s="210" t="s">
        <v>214</v>
      </c>
      <c r="D619" s="196" t="s">
        <v>215</v>
      </c>
    </row>
    <row r="620" ht="15.75" customHeight="1">
      <c r="A620" s="211">
        <v>1085.0</v>
      </c>
      <c r="B620" s="210" t="s">
        <v>219</v>
      </c>
      <c r="C620" s="210" t="s">
        <v>214</v>
      </c>
      <c r="D620" s="196" t="s">
        <v>215</v>
      </c>
    </row>
    <row r="621" ht="15.75" customHeight="1">
      <c r="A621" s="211">
        <v>1086.0</v>
      </c>
      <c r="B621" s="210" t="s">
        <v>219</v>
      </c>
      <c r="C621" s="210" t="s">
        <v>214</v>
      </c>
      <c r="D621" s="196" t="s">
        <v>215</v>
      </c>
    </row>
    <row r="622" ht="15.75" customHeight="1">
      <c r="A622" s="211">
        <v>1886.0</v>
      </c>
      <c r="B622" s="210" t="s">
        <v>216</v>
      </c>
      <c r="C622" s="210" t="s">
        <v>214</v>
      </c>
      <c r="D622" s="196" t="s">
        <v>215</v>
      </c>
    </row>
    <row r="623" ht="15.75" customHeight="1">
      <c r="A623" s="211">
        <v>1441.0</v>
      </c>
      <c r="B623" s="210" t="s">
        <v>223</v>
      </c>
      <c r="C623" s="210" t="s">
        <v>214</v>
      </c>
      <c r="D623" s="196" t="s">
        <v>215</v>
      </c>
    </row>
    <row r="624" ht="15.75" customHeight="1">
      <c r="A624" s="211">
        <v>1473.0</v>
      </c>
      <c r="B624" s="210" t="s">
        <v>223</v>
      </c>
      <c r="C624" s="210" t="s">
        <v>214</v>
      </c>
      <c r="D624" s="196" t="s">
        <v>215</v>
      </c>
    </row>
    <row r="625" ht="15.75" customHeight="1">
      <c r="A625" s="211">
        <v>2493.0</v>
      </c>
      <c r="B625" s="210" t="s">
        <v>216</v>
      </c>
      <c r="C625" s="210" t="s">
        <v>214</v>
      </c>
      <c r="D625" s="196" t="s">
        <v>215</v>
      </c>
    </row>
    <row r="626" ht="15.75" customHeight="1">
      <c r="A626" s="211">
        <v>2790.0</v>
      </c>
      <c r="B626" s="210" t="s">
        <v>217</v>
      </c>
      <c r="C626" s="210" t="s">
        <v>214</v>
      </c>
      <c r="D626" s="196" t="s">
        <v>215</v>
      </c>
    </row>
    <row r="627" ht="15.75" customHeight="1">
      <c r="A627" s="211">
        <v>2791.0</v>
      </c>
      <c r="B627" s="210" t="s">
        <v>217</v>
      </c>
      <c r="C627" s="210" t="s">
        <v>214</v>
      </c>
      <c r="D627" s="196" t="s">
        <v>215</v>
      </c>
    </row>
    <row r="628" ht="15.75" customHeight="1">
      <c r="A628" s="211">
        <v>2090.0</v>
      </c>
      <c r="B628" s="210" t="s">
        <v>225</v>
      </c>
      <c r="C628" s="210" t="s">
        <v>214</v>
      </c>
      <c r="D628" s="196" t="s">
        <v>215</v>
      </c>
    </row>
    <row r="629" ht="15.75" customHeight="1">
      <c r="A629" s="211">
        <v>2188.0</v>
      </c>
      <c r="B629" s="210" t="s">
        <v>225</v>
      </c>
      <c r="C629" s="210" t="s">
        <v>214</v>
      </c>
      <c r="D629" s="196" t="s">
        <v>215</v>
      </c>
    </row>
    <row r="630" ht="15.75" customHeight="1">
      <c r="A630" s="211">
        <v>1093.0</v>
      </c>
      <c r="B630" s="210" t="s">
        <v>224</v>
      </c>
      <c r="C630" s="210" t="s">
        <v>214</v>
      </c>
      <c r="D630" s="196" t="s">
        <v>215</v>
      </c>
    </row>
    <row r="631" ht="15.75" customHeight="1">
      <c r="A631" s="211">
        <v>1094.0</v>
      </c>
      <c r="B631" s="210" t="s">
        <v>223</v>
      </c>
      <c r="C631" s="210" t="s">
        <v>214</v>
      </c>
      <c r="D631" s="196" t="s">
        <v>215</v>
      </c>
    </row>
    <row r="632" ht="15.75" customHeight="1">
      <c r="A632" s="211">
        <v>2381.0</v>
      </c>
      <c r="B632" s="210" t="s">
        <v>213</v>
      </c>
      <c r="C632" s="210" t="s">
        <v>214</v>
      </c>
      <c r="D632" s="196" t="s">
        <v>215</v>
      </c>
    </row>
    <row r="633" ht="15.75" customHeight="1">
      <c r="A633" s="211">
        <v>1588.0</v>
      </c>
      <c r="B633" s="210" t="s">
        <v>223</v>
      </c>
      <c r="C633" s="210" t="s">
        <v>214</v>
      </c>
      <c r="D633" s="196" t="s">
        <v>215</v>
      </c>
    </row>
    <row r="634" ht="15.75" customHeight="1">
      <c r="A634" s="211">
        <v>2382.0</v>
      </c>
      <c r="B634" s="210" t="s">
        <v>213</v>
      </c>
      <c r="C634" s="210" t="s">
        <v>214</v>
      </c>
      <c r="D634" s="196" t="s">
        <v>215</v>
      </c>
    </row>
    <row r="635" ht="15.75" customHeight="1">
      <c r="A635" s="211">
        <v>1095.0</v>
      </c>
      <c r="B635" s="210" t="s">
        <v>219</v>
      </c>
      <c r="C635" s="210" t="s">
        <v>214</v>
      </c>
      <c r="D635" s="196" t="s">
        <v>215</v>
      </c>
    </row>
    <row r="636" ht="15.75" customHeight="1">
      <c r="A636" s="211">
        <v>1096.0</v>
      </c>
      <c r="B636" s="210" t="s">
        <v>222</v>
      </c>
      <c r="C636" s="210" t="s">
        <v>214</v>
      </c>
      <c r="D636" s="196" t="s">
        <v>215</v>
      </c>
    </row>
    <row r="637" ht="15.75" customHeight="1">
      <c r="A637" s="211">
        <v>1267.0</v>
      </c>
      <c r="B637" s="210" t="s">
        <v>218</v>
      </c>
      <c r="C637" s="210" t="s">
        <v>214</v>
      </c>
      <c r="D637" s="196" t="s">
        <v>215</v>
      </c>
    </row>
    <row r="638" ht="15.75" customHeight="1">
      <c r="A638" s="211">
        <v>1887.0</v>
      </c>
      <c r="B638" s="210" t="s">
        <v>216</v>
      </c>
      <c r="C638" s="210" t="s">
        <v>214</v>
      </c>
      <c r="D638" s="196" t="s">
        <v>215</v>
      </c>
    </row>
    <row r="639" ht="15.75" customHeight="1">
      <c r="A639" s="211">
        <v>1475.0</v>
      </c>
      <c r="B639" s="210" t="s">
        <v>223</v>
      </c>
      <c r="C639" s="210" t="s">
        <v>214</v>
      </c>
      <c r="D639" s="196" t="s">
        <v>215</v>
      </c>
    </row>
    <row r="640" ht="15.75" customHeight="1">
      <c r="A640" s="211">
        <v>1477.0</v>
      </c>
      <c r="B640" s="210" t="s">
        <v>223</v>
      </c>
      <c r="C640" s="210" t="s">
        <v>214</v>
      </c>
      <c r="D640" s="196" t="s">
        <v>215</v>
      </c>
    </row>
    <row r="641" ht="15.75" customHeight="1">
      <c r="A641" s="211">
        <v>1890.0</v>
      </c>
      <c r="B641" s="210" t="s">
        <v>216</v>
      </c>
      <c r="C641" s="210" t="s">
        <v>214</v>
      </c>
      <c r="D641" s="196" t="s">
        <v>215</v>
      </c>
    </row>
    <row r="642" ht="15.75" customHeight="1">
      <c r="A642" s="211">
        <v>1270.0</v>
      </c>
      <c r="B642" s="210" t="s">
        <v>218</v>
      </c>
      <c r="C642" s="210" t="s">
        <v>214</v>
      </c>
      <c r="D642" s="196" t="s">
        <v>215</v>
      </c>
    </row>
    <row r="643" ht="15.75" customHeight="1">
      <c r="A643" s="211">
        <v>2152.0</v>
      </c>
      <c r="B643" s="210" t="s">
        <v>220</v>
      </c>
      <c r="C643" s="210" t="s">
        <v>214</v>
      </c>
      <c r="D643" s="196" t="s">
        <v>215</v>
      </c>
    </row>
    <row r="644" ht="15.75" customHeight="1">
      <c r="A644" s="211">
        <v>1801.0</v>
      </c>
      <c r="B644" s="210" t="s">
        <v>216</v>
      </c>
      <c r="C644" s="210" t="s">
        <v>214</v>
      </c>
      <c r="D644" s="196" t="s">
        <v>215</v>
      </c>
    </row>
    <row r="645" ht="15.75" customHeight="1">
      <c r="A645" s="211">
        <v>1815.0</v>
      </c>
      <c r="B645" s="210" t="s">
        <v>216</v>
      </c>
      <c r="C645" s="210" t="s">
        <v>214</v>
      </c>
      <c r="D645" s="196" t="s">
        <v>215</v>
      </c>
    </row>
    <row r="646" ht="15.75" customHeight="1">
      <c r="A646" s="211">
        <v>1888.0</v>
      </c>
      <c r="B646" s="210" t="s">
        <v>216</v>
      </c>
      <c r="C646" s="210" t="s">
        <v>214</v>
      </c>
      <c r="D646" s="196" t="s">
        <v>215</v>
      </c>
    </row>
    <row r="647" ht="15.75" customHeight="1">
      <c r="A647" s="211">
        <v>2543.0</v>
      </c>
      <c r="B647" s="210" t="s">
        <v>226</v>
      </c>
      <c r="C647" s="210" t="s">
        <v>214</v>
      </c>
      <c r="D647" s="196" t="s">
        <v>215</v>
      </c>
    </row>
    <row r="648" ht="15.75" customHeight="1">
      <c r="A648" s="211">
        <v>1784.0</v>
      </c>
      <c r="B648" s="210" t="s">
        <v>216</v>
      </c>
      <c r="C648" s="210" t="s">
        <v>214</v>
      </c>
      <c r="D648" s="196" t="s">
        <v>215</v>
      </c>
    </row>
    <row r="649" ht="15.75" customHeight="1">
      <c r="A649" s="211">
        <v>1601.0</v>
      </c>
      <c r="B649" s="210" t="s">
        <v>223</v>
      </c>
      <c r="C649" s="210" t="s">
        <v>214</v>
      </c>
      <c r="D649" s="196" t="s">
        <v>215</v>
      </c>
    </row>
    <row r="650" ht="15.75" customHeight="1">
      <c r="A650" s="211">
        <v>1602.0</v>
      </c>
      <c r="B650" s="210" t="s">
        <v>223</v>
      </c>
      <c r="C650" s="210" t="s">
        <v>214</v>
      </c>
      <c r="D650" s="196" t="s">
        <v>215</v>
      </c>
    </row>
    <row r="651" ht="15.75" customHeight="1">
      <c r="A651" s="211">
        <v>1603.0</v>
      </c>
      <c r="B651" s="210" t="s">
        <v>223</v>
      </c>
      <c r="C651" s="210" t="s">
        <v>214</v>
      </c>
      <c r="D651" s="196" t="s">
        <v>215</v>
      </c>
    </row>
    <row r="652" ht="15.75" customHeight="1">
      <c r="A652" s="211">
        <v>1604.0</v>
      </c>
      <c r="B652" s="210" t="s">
        <v>223</v>
      </c>
      <c r="C652" s="210" t="s">
        <v>214</v>
      </c>
      <c r="D652" s="196" t="s">
        <v>215</v>
      </c>
    </row>
    <row r="653" ht="15.75" customHeight="1">
      <c r="A653" s="211">
        <v>1605.0</v>
      </c>
      <c r="B653" s="210" t="s">
        <v>223</v>
      </c>
      <c r="C653" s="210" t="s">
        <v>214</v>
      </c>
      <c r="D653" s="196" t="s">
        <v>215</v>
      </c>
    </row>
    <row r="654" ht="15.75" customHeight="1">
      <c r="A654" s="211">
        <v>1606.0</v>
      </c>
      <c r="B654" s="210" t="s">
        <v>223</v>
      </c>
      <c r="C654" s="210" t="s">
        <v>214</v>
      </c>
      <c r="D654" s="196" t="s">
        <v>215</v>
      </c>
    </row>
    <row r="655" ht="15.75" customHeight="1">
      <c r="A655" s="211">
        <v>1607.0</v>
      </c>
      <c r="B655" s="210" t="s">
        <v>223</v>
      </c>
      <c r="C655" s="210" t="s">
        <v>214</v>
      </c>
      <c r="D655" s="196" t="s">
        <v>215</v>
      </c>
    </row>
    <row r="656" ht="15.75" customHeight="1">
      <c r="A656" s="211">
        <v>1608.0</v>
      </c>
      <c r="B656" s="210" t="s">
        <v>223</v>
      </c>
      <c r="C656" s="210" t="s">
        <v>214</v>
      </c>
      <c r="D656" s="196" t="s">
        <v>215</v>
      </c>
    </row>
    <row r="657" ht="15.75" customHeight="1">
      <c r="A657" s="211">
        <v>1609.0</v>
      </c>
      <c r="B657" s="210" t="s">
        <v>223</v>
      </c>
      <c r="C657" s="210" t="s">
        <v>214</v>
      </c>
      <c r="D657" s="196" t="s">
        <v>215</v>
      </c>
    </row>
    <row r="658" ht="15.75" customHeight="1">
      <c r="A658" s="211">
        <v>1610.0</v>
      </c>
      <c r="B658" s="210" t="s">
        <v>223</v>
      </c>
      <c r="C658" s="210" t="s">
        <v>214</v>
      </c>
      <c r="D658" s="196" t="s">
        <v>215</v>
      </c>
    </row>
    <row r="659" ht="15.75" customHeight="1">
      <c r="A659" s="211">
        <v>1613.0</v>
      </c>
      <c r="B659" s="210" t="s">
        <v>223</v>
      </c>
      <c r="C659" s="210" t="s">
        <v>214</v>
      </c>
      <c r="D659" s="196" t="s">
        <v>215</v>
      </c>
    </row>
    <row r="660" ht="15.75" customHeight="1">
      <c r="A660" s="211">
        <v>1614.0</v>
      </c>
      <c r="B660" s="210" t="s">
        <v>223</v>
      </c>
      <c r="C660" s="210" t="s">
        <v>214</v>
      </c>
      <c r="D660" s="196" t="s">
        <v>215</v>
      </c>
    </row>
    <row r="661" ht="15.75" customHeight="1">
      <c r="A661" s="211">
        <v>1615.0</v>
      </c>
      <c r="B661" s="210" t="s">
        <v>223</v>
      </c>
      <c r="C661" s="210" t="s">
        <v>214</v>
      </c>
      <c r="D661" s="196" t="s">
        <v>215</v>
      </c>
    </row>
    <row r="662" ht="15.75" customHeight="1">
      <c r="A662" s="211">
        <v>1653.0</v>
      </c>
      <c r="B662" s="210" t="s">
        <v>223</v>
      </c>
      <c r="C662" s="210" t="s">
        <v>214</v>
      </c>
      <c r="D662" s="196" t="s">
        <v>215</v>
      </c>
    </row>
    <row r="663" ht="15.75" customHeight="1">
      <c r="A663" s="211">
        <v>1655.0</v>
      </c>
      <c r="B663" s="210" t="s">
        <v>223</v>
      </c>
      <c r="C663" s="210" t="s">
        <v>214</v>
      </c>
      <c r="D663" s="196" t="s">
        <v>215</v>
      </c>
    </row>
    <row r="664" ht="15.75" customHeight="1">
      <c r="A664" s="211">
        <v>1098.0</v>
      </c>
      <c r="B664" s="210" t="s">
        <v>222</v>
      </c>
      <c r="C664" s="210" t="s">
        <v>214</v>
      </c>
      <c r="D664" s="196" t="s">
        <v>215</v>
      </c>
    </row>
    <row r="665" ht="15.75" customHeight="1">
      <c r="A665" s="211">
        <v>2093.0</v>
      </c>
      <c r="B665" s="210" t="s">
        <v>225</v>
      </c>
      <c r="C665" s="210" t="s">
        <v>214</v>
      </c>
      <c r="D665" s="196" t="s">
        <v>215</v>
      </c>
    </row>
    <row r="666" ht="15.75" customHeight="1">
      <c r="A666" s="211">
        <v>2675.0</v>
      </c>
      <c r="B666" s="210" t="s">
        <v>226</v>
      </c>
      <c r="C666" s="210" t="s">
        <v>214</v>
      </c>
      <c r="D666" s="196" t="s">
        <v>215</v>
      </c>
    </row>
    <row r="667" ht="15.75" customHeight="1">
      <c r="A667" s="211"/>
      <c r="B667" s="210"/>
      <c r="C667" s="210"/>
    </row>
    <row r="668" ht="15.75" customHeight="1">
      <c r="A668" s="211"/>
      <c r="B668" s="210"/>
      <c r="C668" s="210"/>
    </row>
    <row r="669" ht="15.75" customHeight="1">
      <c r="A669" s="211"/>
      <c r="B669" s="210"/>
      <c r="C669" s="210"/>
    </row>
    <row r="670" ht="15.75" customHeight="1">
      <c r="A670" s="211"/>
      <c r="B670" s="210"/>
      <c r="C670" s="210"/>
    </row>
    <row r="671" ht="15.75" customHeight="1">
      <c r="A671" s="211"/>
      <c r="B671" s="210"/>
      <c r="C671" s="210"/>
    </row>
    <row r="672" ht="15.75" customHeight="1">
      <c r="A672" s="211"/>
      <c r="B672" s="210"/>
      <c r="C672" s="210"/>
    </row>
    <row r="673" ht="15.75" customHeight="1">
      <c r="A673" s="211"/>
      <c r="B673" s="210"/>
      <c r="C673" s="210"/>
    </row>
    <row r="674" ht="15.75" customHeight="1">
      <c r="A674" s="211"/>
      <c r="B674" s="210"/>
      <c r="C674" s="210"/>
    </row>
    <row r="675" ht="15.75" customHeight="1">
      <c r="A675" s="211"/>
      <c r="B675" s="210"/>
      <c r="C675" s="210"/>
    </row>
    <row r="676" ht="15.75" customHeight="1">
      <c r="A676" s="211"/>
      <c r="B676" s="210"/>
      <c r="C676" s="210"/>
    </row>
    <row r="677" ht="15.75" customHeight="1">
      <c r="A677" s="211"/>
      <c r="B677" s="210"/>
      <c r="C677" s="210"/>
    </row>
    <row r="678" ht="15.75" customHeight="1">
      <c r="A678" s="211"/>
      <c r="B678" s="210"/>
      <c r="C678" s="210"/>
    </row>
    <row r="679" ht="15.75" customHeight="1">
      <c r="A679" s="211"/>
      <c r="B679" s="210"/>
      <c r="C679" s="210"/>
    </row>
    <row r="680" ht="15.75" customHeight="1">
      <c r="A680" s="211"/>
      <c r="B680" s="210"/>
      <c r="C680" s="210"/>
    </row>
    <row r="681" ht="15.75" customHeight="1">
      <c r="A681" s="211"/>
      <c r="B681" s="210"/>
      <c r="C681" s="210"/>
    </row>
    <row r="682" ht="15.75" customHeight="1">
      <c r="A682" s="211"/>
      <c r="B682" s="210"/>
      <c r="C682" s="210"/>
    </row>
    <row r="683" ht="15.75" customHeight="1">
      <c r="A683" s="211"/>
      <c r="B683" s="210"/>
      <c r="C683" s="210"/>
    </row>
    <row r="684" ht="15.75" customHeight="1">
      <c r="A684" s="211"/>
      <c r="B684" s="210"/>
      <c r="C684" s="210"/>
    </row>
    <row r="685" ht="15.75" customHeight="1">
      <c r="A685" s="211"/>
      <c r="B685" s="210"/>
      <c r="C685" s="210"/>
    </row>
    <row r="686" ht="15.75" customHeight="1">
      <c r="A686" s="211"/>
      <c r="B686" s="210"/>
      <c r="C686" s="210"/>
    </row>
    <row r="687" ht="15.75" customHeight="1">
      <c r="A687" s="211"/>
      <c r="B687" s="210"/>
      <c r="C687" s="210"/>
    </row>
    <row r="688" ht="15.75" customHeight="1">
      <c r="A688" s="211"/>
      <c r="B688" s="210"/>
      <c r="C688" s="210"/>
    </row>
    <row r="689" ht="15.75" customHeight="1">
      <c r="A689" s="211"/>
      <c r="B689" s="210"/>
      <c r="C689" s="210"/>
    </row>
    <row r="690" ht="15.75" customHeight="1">
      <c r="A690" s="211"/>
      <c r="B690" s="210"/>
      <c r="C690" s="210"/>
    </row>
    <row r="691" ht="15.75" customHeight="1">
      <c r="A691" s="211"/>
      <c r="B691" s="210"/>
      <c r="C691" s="210"/>
    </row>
    <row r="692" ht="15.75" customHeight="1">
      <c r="A692" s="211"/>
      <c r="B692" s="210"/>
      <c r="C692" s="210"/>
    </row>
    <row r="693" ht="15.75" customHeight="1">
      <c r="A693" s="211"/>
      <c r="B693" s="210"/>
      <c r="C693" s="210"/>
    </row>
    <row r="694" ht="15.75" customHeight="1">
      <c r="A694" s="211"/>
      <c r="B694" s="210"/>
      <c r="C694" s="210"/>
    </row>
    <row r="695" ht="15.75" customHeight="1">
      <c r="A695" s="211"/>
      <c r="B695" s="210"/>
      <c r="C695" s="210"/>
    </row>
    <row r="696" ht="15.75" customHeight="1">
      <c r="A696" s="211"/>
      <c r="B696" s="210"/>
      <c r="C696" s="210"/>
    </row>
    <row r="697" ht="15.75" customHeight="1">
      <c r="A697" s="211"/>
      <c r="B697" s="210"/>
      <c r="C697" s="210"/>
    </row>
    <row r="698" ht="15.75" customHeight="1">
      <c r="A698" s="211"/>
      <c r="B698" s="210"/>
      <c r="C698" s="210"/>
    </row>
    <row r="699" ht="15.75" customHeight="1">
      <c r="A699" s="211"/>
      <c r="B699" s="210"/>
      <c r="C699" s="210"/>
    </row>
    <row r="700" ht="15.75" customHeight="1">
      <c r="A700" s="211"/>
      <c r="B700" s="210"/>
      <c r="C700" s="210"/>
    </row>
    <row r="701" ht="15.75" customHeight="1">
      <c r="A701" s="211"/>
      <c r="B701" s="210"/>
      <c r="C701" s="210"/>
    </row>
    <row r="702" ht="15.75" customHeight="1">
      <c r="A702" s="211"/>
      <c r="B702" s="210"/>
      <c r="C702" s="210"/>
    </row>
    <row r="703" ht="15.75" customHeight="1">
      <c r="A703" s="211"/>
      <c r="B703" s="210"/>
      <c r="C703" s="210"/>
    </row>
    <row r="704" ht="15.75" customHeight="1">
      <c r="A704" s="211"/>
      <c r="B704" s="210"/>
      <c r="C704" s="210"/>
    </row>
    <row r="705" ht="15.75" customHeight="1">
      <c r="A705" s="211"/>
      <c r="B705" s="210"/>
      <c r="C705" s="210"/>
    </row>
    <row r="706" ht="15.75" customHeight="1">
      <c r="A706" s="211"/>
      <c r="B706" s="210"/>
      <c r="C706" s="210"/>
    </row>
    <row r="707" ht="15.75" customHeight="1">
      <c r="A707" s="211"/>
      <c r="B707" s="210"/>
      <c r="C707" s="210"/>
    </row>
    <row r="708" ht="15.75" customHeight="1">
      <c r="A708" s="211"/>
      <c r="B708" s="210"/>
      <c r="C708" s="210"/>
    </row>
    <row r="709" ht="15.75" customHeight="1">
      <c r="A709" s="211"/>
      <c r="B709" s="210"/>
      <c r="C709" s="210"/>
    </row>
    <row r="710" ht="15.75" customHeight="1">
      <c r="A710" s="211"/>
      <c r="B710" s="210"/>
      <c r="C710" s="210"/>
    </row>
    <row r="711" ht="15.75" customHeight="1">
      <c r="A711" s="211"/>
      <c r="B711" s="210"/>
      <c r="C711" s="210"/>
    </row>
    <row r="712" ht="15.75" customHeight="1">
      <c r="A712" s="211"/>
      <c r="B712" s="210"/>
      <c r="C712" s="210"/>
    </row>
    <row r="713" ht="15.75" customHeight="1">
      <c r="A713" s="211"/>
      <c r="B713" s="210"/>
      <c r="C713" s="210"/>
    </row>
    <row r="714" ht="15.75" customHeight="1">
      <c r="A714" s="211"/>
      <c r="B714" s="210"/>
      <c r="C714" s="210"/>
    </row>
    <row r="715" ht="15.75" customHeight="1">
      <c r="A715" s="211"/>
      <c r="B715" s="210"/>
      <c r="C715" s="210"/>
    </row>
    <row r="716" ht="15.75" customHeight="1">
      <c r="A716" s="211"/>
      <c r="B716" s="210"/>
      <c r="C716" s="210"/>
    </row>
    <row r="717" ht="15.75" customHeight="1">
      <c r="A717" s="211"/>
      <c r="B717" s="210"/>
      <c r="C717" s="210"/>
    </row>
    <row r="718" ht="15.75" customHeight="1">
      <c r="A718" s="211"/>
      <c r="B718" s="210"/>
      <c r="C718" s="210"/>
    </row>
    <row r="719" ht="15.75" customHeight="1">
      <c r="A719" s="211"/>
      <c r="B719" s="210"/>
      <c r="C719" s="210"/>
    </row>
    <row r="720" ht="15.75" customHeight="1">
      <c r="A720" s="211"/>
      <c r="B720" s="210"/>
      <c r="C720" s="210"/>
    </row>
    <row r="721" ht="15.75" customHeight="1">
      <c r="A721" s="211"/>
      <c r="B721" s="210"/>
      <c r="C721" s="210"/>
    </row>
    <row r="722" ht="15.75" customHeight="1">
      <c r="A722" s="211"/>
      <c r="B722" s="210"/>
      <c r="C722" s="210"/>
    </row>
    <row r="723" ht="15.75" customHeight="1">
      <c r="A723" s="211"/>
      <c r="B723" s="210"/>
      <c r="C723" s="210"/>
    </row>
    <row r="724" ht="15.75" customHeight="1">
      <c r="A724" s="211"/>
      <c r="B724" s="210"/>
      <c r="C724" s="210"/>
    </row>
    <row r="725" ht="15.75" customHeight="1">
      <c r="A725" s="211"/>
      <c r="B725" s="210"/>
      <c r="C725" s="210"/>
    </row>
    <row r="726" ht="15.75" customHeight="1">
      <c r="A726" s="211"/>
      <c r="B726" s="210"/>
      <c r="C726" s="210"/>
    </row>
    <row r="727" ht="15.75" customHeight="1">
      <c r="A727" s="211"/>
      <c r="B727" s="210"/>
      <c r="C727" s="210"/>
    </row>
    <row r="728" ht="15.75" customHeight="1">
      <c r="A728" s="211"/>
      <c r="B728" s="210"/>
      <c r="C728" s="210"/>
    </row>
    <row r="729" ht="15.75" customHeight="1">
      <c r="A729" s="211"/>
      <c r="B729" s="210"/>
      <c r="C729" s="210"/>
    </row>
    <row r="730" ht="15.75" customHeight="1">
      <c r="A730" s="211"/>
      <c r="B730" s="210"/>
      <c r="C730" s="210"/>
    </row>
    <row r="731" ht="15.75" customHeight="1">
      <c r="A731" s="211"/>
      <c r="B731" s="210"/>
      <c r="C731" s="210"/>
    </row>
    <row r="732" ht="15.75" customHeight="1">
      <c r="A732" s="211"/>
      <c r="B732" s="210"/>
      <c r="C732" s="210"/>
    </row>
    <row r="733" ht="15.75" customHeight="1">
      <c r="A733" s="211"/>
      <c r="B733" s="210"/>
      <c r="C733" s="210"/>
    </row>
    <row r="734" ht="15.75" customHeight="1">
      <c r="A734" s="211"/>
      <c r="B734" s="210"/>
      <c r="C734" s="210"/>
    </row>
    <row r="735" ht="15.75" customHeight="1">
      <c r="A735" s="211"/>
      <c r="B735" s="210"/>
      <c r="C735" s="210"/>
    </row>
    <row r="736" ht="15.75" customHeight="1">
      <c r="A736" s="211"/>
      <c r="B736" s="210"/>
      <c r="C736" s="210"/>
    </row>
    <row r="737" ht="15.75" customHeight="1">
      <c r="A737" s="211"/>
      <c r="B737" s="210"/>
      <c r="C737" s="210"/>
    </row>
    <row r="738" ht="15.75" customHeight="1">
      <c r="A738" s="211"/>
      <c r="B738" s="210"/>
      <c r="C738" s="210"/>
    </row>
    <row r="739" ht="15.75" customHeight="1">
      <c r="A739" s="211"/>
      <c r="B739" s="210"/>
      <c r="C739" s="210"/>
    </row>
    <row r="740" ht="15.75" customHeight="1">
      <c r="A740" s="211"/>
      <c r="B740" s="210"/>
      <c r="C740" s="210"/>
    </row>
    <row r="741" ht="15.75" customHeight="1">
      <c r="A741" s="211"/>
      <c r="B741" s="210"/>
      <c r="C741" s="210"/>
    </row>
    <row r="742" ht="15.75" customHeight="1">
      <c r="A742" s="211"/>
      <c r="B742" s="210"/>
      <c r="C742" s="210"/>
    </row>
    <row r="743" ht="15.75" customHeight="1">
      <c r="A743" s="211"/>
      <c r="B743" s="210"/>
      <c r="C743" s="210"/>
    </row>
    <row r="744" ht="15.75" customHeight="1">
      <c r="A744" s="211"/>
      <c r="B744" s="210"/>
      <c r="C744" s="210"/>
    </row>
    <row r="745" ht="15.75" customHeight="1">
      <c r="A745" s="211"/>
      <c r="B745" s="210"/>
      <c r="C745" s="210"/>
    </row>
    <row r="746" ht="15.75" customHeight="1">
      <c r="A746" s="211"/>
      <c r="B746" s="210"/>
      <c r="C746" s="210"/>
    </row>
    <row r="747" ht="15.75" customHeight="1">
      <c r="A747" s="211"/>
      <c r="B747" s="210"/>
      <c r="C747" s="210"/>
    </row>
    <row r="748" ht="15.75" customHeight="1">
      <c r="A748" s="211"/>
      <c r="B748" s="210"/>
      <c r="C748" s="210"/>
    </row>
    <row r="749" ht="15.75" customHeight="1">
      <c r="A749" s="211"/>
      <c r="B749" s="210"/>
      <c r="C749" s="210"/>
    </row>
    <row r="750" ht="15.75" customHeight="1">
      <c r="A750" s="211"/>
      <c r="B750" s="210"/>
      <c r="C750" s="210"/>
    </row>
    <row r="751" ht="15.75" customHeight="1">
      <c r="A751" s="211"/>
      <c r="B751" s="210"/>
      <c r="C751" s="210"/>
    </row>
    <row r="752" ht="15.75" customHeight="1">
      <c r="A752" s="211"/>
      <c r="B752" s="210"/>
      <c r="C752" s="210"/>
    </row>
    <row r="753" ht="15.75" customHeight="1">
      <c r="A753" s="211"/>
      <c r="B753" s="210"/>
      <c r="C753" s="210"/>
    </row>
    <row r="754" ht="15.75" customHeight="1">
      <c r="A754" s="211"/>
      <c r="B754" s="210"/>
      <c r="C754" s="210"/>
    </row>
    <row r="755" ht="15.75" customHeight="1">
      <c r="A755" s="211"/>
      <c r="B755" s="210"/>
      <c r="C755" s="210"/>
    </row>
    <row r="756" ht="15.75" customHeight="1">
      <c r="A756" s="211"/>
      <c r="B756" s="210"/>
      <c r="C756" s="210"/>
    </row>
    <row r="757" ht="15.75" customHeight="1">
      <c r="A757" s="211"/>
      <c r="B757" s="210"/>
      <c r="C757" s="210"/>
    </row>
    <row r="758" ht="15.75" customHeight="1">
      <c r="A758" s="211"/>
      <c r="B758" s="210"/>
      <c r="C758" s="210"/>
    </row>
    <row r="759" ht="15.75" customHeight="1">
      <c r="A759" s="211"/>
      <c r="B759" s="210"/>
      <c r="C759" s="210"/>
    </row>
    <row r="760" ht="15.75" customHeight="1">
      <c r="A760" s="211"/>
      <c r="B760" s="210"/>
      <c r="C760" s="210"/>
    </row>
    <row r="761" ht="15.75" customHeight="1">
      <c r="A761" s="211"/>
      <c r="B761" s="210"/>
      <c r="C761" s="210"/>
    </row>
    <row r="762" ht="15.75" customHeight="1">
      <c r="A762" s="211"/>
      <c r="B762" s="210"/>
      <c r="C762" s="210"/>
    </row>
    <row r="763" ht="15.75" customHeight="1">
      <c r="A763" s="211"/>
      <c r="B763" s="210"/>
      <c r="C763" s="210"/>
    </row>
    <row r="764" ht="15.75" customHeight="1">
      <c r="A764" s="211"/>
      <c r="B764" s="210"/>
      <c r="C764" s="210"/>
    </row>
    <row r="765" ht="15.75" customHeight="1">
      <c r="A765" s="211"/>
      <c r="B765" s="210"/>
      <c r="C765" s="210"/>
    </row>
    <row r="766" ht="15.75" customHeight="1">
      <c r="A766" s="211"/>
      <c r="B766" s="210"/>
      <c r="C766" s="210"/>
    </row>
    <row r="767" ht="15.75" customHeight="1">
      <c r="A767" s="211"/>
      <c r="B767" s="210"/>
      <c r="C767" s="210"/>
    </row>
    <row r="768" ht="15.75" customHeight="1">
      <c r="A768" s="211"/>
      <c r="B768" s="210"/>
      <c r="C768" s="210"/>
    </row>
    <row r="769" ht="15.75" customHeight="1">
      <c r="A769" s="211"/>
      <c r="B769" s="210"/>
      <c r="C769" s="210"/>
    </row>
    <row r="770" ht="15.75" customHeight="1">
      <c r="A770" s="211"/>
      <c r="B770" s="210"/>
      <c r="C770" s="210"/>
    </row>
    <row r="771" ht="15.75" customHeight="1">
      <c r="A771" s="211"/>
      <c r="B771" s="210"/>
      <c r="C771" s="210"/>
    </row>
    <row r="772" ht="15.75" customHeight="1">
      <c r="A772" s="211"/>
      <c r="B772" s="210"/>
      <c r="C772" s="210"/>
    </row>
    <row r="773" ht="15.75" customHeight="1">
      <c r="A773" s="211"/>
      <c r="B773" s="210"/>
      <c r="C773" s="210"/>
    </row>
    <row r="774" ht="15.75" customHeight="1">
      <c r="A774" s="211"/>
      <c r="B774" s="210"/>
      <c r="C774" s="210"/>
    </row>
    <row r="775" ht="15.75" customHeight="1">
      <c r="A775" s="211"/>
      <c r="B775" s="210"/>
      <c r="C775" s="210"/>
    </row>
    <row r="776" ht="15.75" customHeight="1">
      <c r="A776" s="211"/>
      <c r="B776" s="210"/>
      <c r="C776" s="210"/>
    </row>
    <row r="777" ht="15.75" customHeight="1">
      <c r="A777" s="211"/>
      <c r="B777" s="210"/>
      <c r="C777" s="210"/>
    </row>
    <row r="778" ht="15.75" customHeight="1">
      <c r="A778" s="211"/>
      <c r="B778" s="210"/>
      <c r="C778" s="210"/>
    </row>
    <row r="779" ht="15.75" customHeight="1">
      <c r="A779" s="211"/>
      <c r="B779" s="210"/>
      <c r="C779" s="210"/>
    </row>
    <row r="780" ht="15.75" customHeight="1">
      <c r="A780" s="211"/>
      <c r="B780" s="210"/>
      <c r="C780" s="210"/>
    </row>
    <row r="781" ht="15.75" customHeight="1">
      <c r="A781" s="211"/>
      <c r="B781" s="210"/>
      <c r="C781" s="210"/>
    </row>
    <row r="782" ht="15.75" customHeight="1">
      <c r="A782" s="211"/>
      <c r="B782" s="210"/>
      <c r="C782" s="210"/>
    </row>
    <row r="783" ht="15.75" customHeight="1">
      <c r="A783" s="211"/>
      <c r="B783" s="210"/>
      <c r="C783" s="210"/>
    </row>
    <row r="784" ht="15.75" customHeight="1">
      <c r="A784" s="211"/>
      <c r="B784" s="210"/>
      <c r="C784" s="210"/>
    </row>
    <row r="785" ht="15.75" customHeight="1">
      <c r="A785" s="211"/>
      <c r="B785" s="210"/>
      <c r="C785" s="210"/>
    </row>
    <row r="786" ht="15.75" customHeight="1">
      <c r="A786" s="211"/>
      <c r="B786" s="210"/>
      <c r="C786" s="210"/>
    </row>
    <row r="787" ht="15.75" customHeight="1">
      <c r="A787" s="211"/>
      <c r="B787" s="210"/>
      <c r="C787" s="210"/>
    </row>
    <row r="788" ht="15.75" customHeight="1">
      <c r="A788" s="211"/>
      <c r="B788" s="210"/>
      <c r="C788" s="210"/>
    </row>
    <row r="789" ht="15.75" customHeight="1">
      <c r="A789" s="211"/>
      <c r="B789" s="210"/>
      <c r="C789" s="210"/>
    </row>
    <row r="790" ht="15.75" customHeight="1">
      <c r="A790" s="211"/>
      <c r="B790" s="210"/>
      <c r="C790" s="210"/>
    </row>
    <row r="791" ht="15.75" customHeight="1">
      <c r="A791" s="211"/>
      <c r="B791" s="210"/>
      <c r="C791" s="210"/>
    </row>
    <row r="792" ht="15.75" customHeight="1">
      <c r="A792" s="211"/>
      <c r="B792" s="210"/>
      <c r="C792" s="210"/>
    </row>
    <row r="793" ht="15.75" customHeight="1">
      <c r="A793" s="211"/>
      <c r="B793" s="210"/>
      <c r="C793" s="210"/>
    </row>
    <row r="794" ht="15.75" customHeight="1">
      <c r="A794" s="211"/>
      <c r="B794" s="210"/>
      <c r="C794" s="210"/>
    </row>
    <row r="795" ht="15.75" customHeight="1">
      <c r="A795" s="211"/>
      <c r="B795" s="210"/>
      <c r="C795" s="210"/>
    </row>
    <row r="796" ht="15.75" customHeight="1">
      <c r="A796" s="211"/>
      <c r="B796" s="210"/>
      <c r="C796" s="210"/>
    </row>
    <row r="797" ht="15.75" customHeight="1">
      <c r="A797" s="211"/>
      <c r="B797" s="210"/>
      <c r="C797" s="210"/>
    </row>
    <row r="798" ht="15.75" customHeight="1">
      <c r="A798" s="211"/>
      <c r="B798" s="210"/>
      <c r="C798" s="210"/>
    </row>
    <row r="799" ht="15.75" customHeight="1">
      <c r="A799" s="211"/>
      <c r="B799" s="210"/>
      <c r="C799" s="210"/>
    </row>
    <row r="800" ht="15.75" customHeight="1">
      <c r="A800" s="211"/>
      <c r="B800" s="210"/>
      <c r="C800" s="210"/>
    </row>
    <row r="801" ht="15.75" customHeight="1">
      <c r="A801" s="211"/>
      <c r="B801" s="210"/>
      <c r="C801" s="210"/>
    </row>
    <row r="802" ht="15.75" customHeight="1">
      <c r="A802" s="211"/>
      <c r="B802" s="210"/>
      <c r="C802" s="210"/>
    </row>
    <row r="803" ht="15.75" customHeight="1">
      <c r="A803" s="211"/>
      <c r="B803" s="210"/>
      <c r="C803" s="210"/>
    </row>
    <row r="804" ht="15.75" customHeight="1">
      <c r="A804" s="211"/>
      <c r="B804" s="210"/>
      <c r="C804" s="210"/>
    </row>
    <row r="805" ht="15.75" customHeight="1">
      <c r="A805" s="211"/>
      <c r="B805" s="210"/>
      <c r="C805" s="210"/>
    </row>
    <row r="806" ht="15.75" customHeight="1">
      <c r="A806" s="211"/>
      <c r="B806" s="210"/>
      <c r="C806" s="210"/>
    </row>
    <row r="807" ht="15.75" customHeight="1">
      <c r="A807" s="211"/>
      <c r="B807" s="210"/>
      <c r="C807" s="210"/>
    </row>
    <row r="808" ht="15.75" customHeight="1">
      <c r="A808" s="211"/>
      <c r="B808" s="210"/>
      <c r="C808" s="210"/>
    </row>
    <row r="809" ht="15.75" customHeight="1">
      <c r="A809" s="211"/>
      <c r="B809" s="210"/>
      <c r="C809" s="210"/>
    </row>
    <row r="810" ht="15.75" customHeight="1">
      <c r="A810" s="211"/>
      <c r="B810" s="210"/>
      <c r="C810" s="210"/>
    </row>
    <row r="811" ht="15.75" customHeight="1">
      <c r="A811" s="211"/>
      <c r="B811" s="210"/>
      <c r="C811" s="210"/>
    </row>
    <row r="812" ht="15.75" customHeight="1">
      <c r="A812" s="211"/>
      <c r="B812" s="210"/>
      <c r="C812" s="210"/>
    </row>
    <row r="813" ht="15.75" customHeight="1">
      <c r="A813" s="211"/>
      <c r="B813" s="210"/>
      <c r="C813" s="210"/>
    </row>
    <row r="814" ht="15.75" customHeight="1">
      <c r="A814" s="211"/>
      <c r="B814" s="210"/>
      <c r="C814" s="210"/>
    </row>
    <row r="815" ht="15.75" customHeight="1">
      <c r="A815" s="211"/>
      <c r="B815" s="210"/>
      <c r="C815" s="210"/>
    </row>
    <row r="816" ht="15.75" customHeight="1">
      <c r="A816" s="211"/>
      <c r="B816" s="210"/>
      <c r="C816" s="210"/>
    </row>
    <row r="817" ht="15.75" customHeight="1">
      <c r="A817" s="211"/>
      <c r="B817" s="210"/>
      <c r="C817" s="210"/>
    </row>
    <row r="818" ht="15.75" customHeight="1">
      <c r="A818" s="211"/>
      <c r="B818" s="210"/>
      <c r="C818" s="210"/>
    </row>
    <row r="819" ht="15.75" customHeight="1">
      <c r="A819" s="211"/>
      <c r="B819" s="210"/>
      <c r="C819" s="210"/>
    </row>
    <row r="820" ht="15.75" customHeight="1">
      <c r="A820" s="211"/>
      <c r="B820" s="210"/>
      <c r="C820" s="210"/>
    </row>
    <row r="821" ht="15.75" customHeight="1">
      <c r="A821" s="211"/>
      <c r="B821" s="210"/>
      <c r="C821" s="210"/>
    </row>
    <row r="822" ht="15.75" customHeight="1">
      <c r="A822" s="211"/>
      <c r="B822" s="210"/>
      <c r="C822" s="210"/>
    </row>
    <row r="823" ht="15.75" customHeight="1">
      <c r="A823" s="211"/>
      <c r="B823" s="210"/>
      <c r="C823" s="210"/>
    </row>
    <row r="824" ht="15.75" customHeight="1">
      <c r="A824" s="211"/>
      <c r="B824" s="210"/>
      <c r="C824" s="210"/>
    </row>
    <row r="825" ht="15.75" customHeight="1">
      <c r="A825" s="211"/>
      <c r="B825" s="210"/>
      <c r="C825" s="210"/>
    </row>
    <row r="826" ht="15.75" customHeight="1">
      <c r="A826" s="211"/>
      <c r="B826" s="210"/>
      <c r="C826" s="210"/>
    </row>
    <row r="827" ht="15.75" customHeight="1">
      <c r="A827" s="211"/>
      <c r="B827" s="210"/>
      <c r="C827" s="210"/>
    </row>
    <row r="828" ht="15.75" customHeight="1">
      <c r="A828" s="211"/>
      <c r="B828" s="210"/>
      <c r="C828" s="210"/>
    </row>
    <row r="829" ht="15.75" customHeight="1">
      <c r="A829" s="211"/>
      <c r="B829" s="210"/>
      <c r="C829" s="210"/>
    </row>
    <row r="830" ht="15.75" customHeight="1">
      <c r="A830" s="211"/>
      <c r="B830" s="210"/>
      <c r="C830" s="210"/>
    </row>
    <row r="831" ht="15.75" customHeight="1">
      <c r="A831" s="211"/>
      <c r="B831" s="210"/>
      <c r="C831" s="210"/>
    </row>
    <row r="832" ht="15.75" customHeight="1">
      <c r="A832" s="211"/>
      <c r="B832" s="210"/>
      <c r="C832" s="210"/>
    </row>
    <row r="833" ht="15.75" customHeight="1">
      <c r="A833" s="211"/>
      <c r="B833" s="210"/>
      <c r="C833" s="210"/>
    </row>
    <row r="834" ht="15.75" customHeight="1">
      <c r="A834" s="211"/>
      <c r="B834" s="210"/>
      <c r="C834" s="210"/>
    </row>
    <row r="835" ht="15.75" customHeight="1">
      <c r="A835" s="211"/>
      <c r="B835" s="210"/>
      <c r="C835" s="210"/>
    </row>
    <row r="836" ht="15.75" customHeight="1">
      <c r="A836" s="211"/>
      <c r="B836" s="210"/>
      <c r="C836" s="210"/>
    </row>
    <row r="837" ht="15.75" customHeight="1">
      <c r="A837" s="211"/>
      <c r="B837" s="210"/>
      <c r="C837" s="210"/>
    </row>
    <row r="838" ht="15.75" customHeight="1">
      <c r="A838" s="211"/>
      <c r="B838" s="210"/>
      <c r="C838" s="210"/>
    </row>
    <row r="839" ht="15.75" customHeight="1">
      <c r="A839" s="211"/>
      <c r="B839" s="210"/>
      <c r="C839" s="210"/>
    </row>
    <row r="840" ht="15.75" customHeight="1">
      <c r="A840" s="211"/>
      <c r="B840" s="210"/>
      <c r="C840" s="210"/>
    </row>
    <row r="841" ht="15.75" customHeight="1">
      <c r="A841" s="211"/>
      <c r="B841" s="210"/>
      <c r="C841" s="210"/>
    </row>
    <row r="842" ht="15.75" customHeight="1">
      <c r="A842" s="211"/>
      <c r="B842" s="210"/>
      <c r="C842" s="210"/>
    </row>
    <row r="843" ht="15.75" customHeight="1">
      <c r="A843" s="211"/>
      <c r="B843" s="210"/>
      <c r="C843" s="210"/>
    </row>
    <row r="844" ht="15.75" customHeight="1">
      <c r="A844" s="211"/>
      <c r="B844" s="210"/>
      <c r="C844" s="210"/>
    </row>
    <row r="845" ht="15.75" customHeight="1">
      <c r="A845" s="211"/>
      <c r="B845" s="210"/>
      <c r="C845" s="210"/>
    </row>
    <row r="846" ht="15.75" customHeight="1">
      <c r="A846" s="211"/>
      <c r="B846" s="210"/>
      <c r="C846" s="210"/>
    </row>
    <row r="847" ht="15.75" customHeight="1">
      <c r="A847" s="211"/>
      <c r="B847" s="210"/>
      <c r="C847" s="210"/>
    </row>
    <row r="848" ht="15.75" customHeight="1">
      <c r="A848" s="211"/>
      <c r="B848" s="210"/>
      <c r="C848" s="210"/>
    </row>
    <row r="849" ht="15.75" customHeight="1">
      <c r="A849" s="211"/>
      <c r="B849" s="210"/>
      <c r="C849" s="210"/>
    </row>
    <row r="850" ht="15.75" customHeight="1">
      <c r="A850" s="211"/>
      <c r="B850" s="210"/>
      <c r="C850" s="210"/>
    </row>
    <row r="851" ht="15.75" customHeight="1">
      <c r="A851" s="211"/>
      <c r="B851" s="210"/>
      <c r="C851" s="210"/>
    </row>
    <row r="852" ht="15.75" customHeight="1">
      <c r="A852" s="211"/>
      <c r="B852" s="210"/>
      <c r="C852" s="210"/>
    </row>
    <row r="853" ht="15.75" customHeight="1">
      <c r="A853" s="211"/>
      <c r="B853" s="210"/>
      <c r="C853" s="210"/>
    </row>
    <row r="854" ht="15.75" customHeight="1">
      <c r="A854" s="211"/>
      <c r="B854" s="210"/>
      <c r="C854" s="210"/>
    </row>
    <row r="855" ht="15.75" customHeight="1">
      <c r="A855" s="211"/>
      <c r="B855" s="210"/>
      <c r="C855" s="210"/>
    </row>
    <row r="856" ht="15.75" customHeight="1">
      <c r="A856" s="211"/>
      <c r="B856" s="210"/>
      <c r="C856" s="210"/>
    </row>
    <row r="857" ht="15.75" customHeight="1">
      <c r="A857" s="211"/>
      <c r="B857" s="210"/>
      <c r="C857" s="210"/>
    </row>
    <row r="858" ht="15.75" customHeight="1">
      <c r="A858" s="211"/>
      <c r="B858" s="210"/>
      <c r="C858" s="210"/>
    </row>
    <row r="859" ht="15.75" customHeight="1">
      <c r="A859" s="211"/>
      <c r="B859" s="210"/>
      <c r="C859" s="210"/>
    </row>
    <row r="860" ht="15.75" customHeight="1">
      <c r="A860" s="211"/>
      <c r="B860" s="210"/>
      <c r="C860" s="210"/>
    </row>
    <row r="861" ht="15.75" customHeight="1">
      <c r="A861" s="211"/>
      <c r="B861" s="210"/>
      <c r="C861" s="210"/>
    </row>
    <row r="862" ht="15.75" customHeight="1">
      <c r="A862" s="211"/>
      <c r="B862" s="210"/>
      <c r="C862" s="210"/>
    </row>
    <row r="863" ht="15.75" customHeight="1">
      <c r="A863" s="211"/>
      <c r="B863" s="210"/>
      <c r="C863" s="210"/>
    </row>
    <row r="864" ht="15.75" customHeight="1">
      <c r="A864" s="211"/>
      <c r="B864" s="210"/>
      <c r="C864" s="210"/>
    </row>
    <row r="865" ht="15.75" customHeight="1">
      <c r="A865" s="211"/>
      <c r="B865" s="210"/>
      <c r="C865" s="210"/>
    </row>
    <row r="866" ht="15.75" customHeight="1">
      <c r="A866" s="211"/>
      <c r="B866" s="210"/>
      <c r="C866" s="210"/>
    </row>
    <row r="867" ht="15.75" customHeight="1">
      <c r="A867" s="211"/>
      <c r="B867" s="210"/>
      <c r="C867" s="210"/>
    </row>
    <row r="868" ht="15.75" customHeight="1">
      <c r="A868" s="211"/>
      <c r="B868" s="210"/>
      <c r="C868" s="210"/>
    </row>
    <row r="869" ht="15.75" customHeight="1">
      <c r="A869" s="211"/>
      <c r="B869" s="210"/>
      <c r="C869" s="210"/>
    </row>
    <row r="870" ht="15.75" customHeight="1">
      <c r="A870" s="211"/>
      <c r="B870" s="210"/>
      <c r="C870" s="210"/>
    </row>
    <row r="871" ht="15.75" customHeight="1">
      <c r="A871" s="211"/>
      <c r="B871" s="210"/>
      <c r="C871" s="210"/>
    </row>
    <row r="872" ht="15.75" customHeight="1">
      <c r="A872" s="211"/>
      <c r="B872" s="210"/>
      <c r="C872" s="210"/>
    </row>
    <row r="873" ht="15.75" customHeight="1">
      <c r="A873" s="211"/>
      <c r="B873" s="210"/>
      <c r="C873" s="210"/>
    </row>
    <row r="874" ht="15.75" customHeight="1">
      <c r="A874" s="211"/>
      <c r="B874" s="210"/>
      <c r="C874" s="210"/>
    </row>
    <row r="875" ht="15.75" customHeight="1">
      <c r="A875" s="211"/>
      <c r="B875" s="210"/>
      <c r="C875" s="210"/>
    </row>
    <row r="876" ht="15.75" customHeight="1">
      <c r="A876" s="211"/>
      <c r="B876" s="210"/>
      <c r="C876" s="210"/>
    </row>
    <row r="877" ht="15.75" customHeight="1">
      <c r="A877" s="211"/>
      <c r="B877" s="210"/>
      <c r="C877" s="210"/>
    </row>
    <row r="878" ht="15.75" customHeight="1">
      <c r="A878" s="211"/>
      <c r="B878" s="210"/>
      <c r="C878" s="210"/>
    </row>
    <row r="879" ht="15.75" customHeight="1">
      <c r="A879" s="211"/>
      <c r="B879" s="210"/>
      <c r="C879" s="210"/>
    </row>
    <row r="880" ht="15.75" customHeight="1">
      <c r="A880" s="211"/>
      <c r="B880" s="210"/>
      <c r="C880" s="210"/>
    </row>
    <row r="881" ht="15.75" customHeight="1">
      <c r="A881" s="211"/>
      <c r="B881" s="210"/>
      <c r="C881" s="210"/>
    </row>
    <row r="882" ht="15.75" customHeight="1">
      <c r="A882" s="211"/>
      <c r="B882" s="210"/>
      <c r="C882" s="210"/>
    </row>
    <row r="883" ht="15.75" customHeight="1">
      <c r="A883" s="211"/>
      <c r="B883" s="210"/>
      <c r="C883" s="210"/>
    </row>
    <row r="884" ht="15.75" customHeight="1">
      <c r="A884" s="211"/>
      <c r="B884" s="210"/>
      <c r="C884" s="210"/>
    </row>
    <row r="885" ht="15.75" customHeight="1">
      <c r="A885" s="211"/>
      <c r="B885" s="210"/>
      <c r="C885" s="210"/>
    </row>
    <row r="886" ht="15.75" customHeight="1">
      <c r="A886" s="211"/>
      <c r="B886" s="210"/>
      <c r="C886" s="210"/>
    </row>
    <row r="887" ht="15.75" customHeight="1">
      <c r="A887" s="211"/>
      <c r="B887" s="210"/>
      <c r="C887" s="210"/>
    </row>
    <row r="888" ht="15.75" customHeight="1">
      <c r="A888" s="211"/>
      <c r="B888" s="210"/>
      <c r="C888" s="210"/>
    </row>
    <row r="889" ht="15.75" customHeight="1">
      <c r="A889" s="211"/>
      <c r="B889" s="210"/>
      <c r="C889" s="210"/>
    </row>
    <row r="890" ht="15.75" customHeight="1">
      <c r="A890" s="211"/>
      <c r="B890" s="210"/>
      <c r="C890" s="210"/>
    </row>
    <row r="891" ht="15.75" customHeight="1">
      <c r="A891" s="211"/>
      <c r="B891" s="210"/>
      <c r="C891" s="210"/>
    </row>
    <row r="892" ht="15.75" customHeight="1">
      <c r="A892" s="211"/>
      <c r="B892" s="210"/>
      <c r="C892" s="210"/>
    </row>
    <row r="893" ht="15.75" customHeight="1">
      <c r="A893" s="211"/>
      <c r="B893" s="210"/>
      <c r="C893" s="210"/>
    </row>
    <row r="894" ht="15.75" customHeight="1">
      <c r="A894" s="211"/>
      <c r="B894" s="210"/>
      <c r="C894" s="210"/>
    </row>
    <row r="895" ht="15.75" customHeight="1">
      <c r="A895" s="211"/>
      <c r="B895" s="210"/>
      <c r="C895" s="210"/>
    </row>
    <row r="896" ht="15.75" customHeight="1">
      <c r="A896" s="211"/>
      <c r="B896" s="210"/>
      <c r="C896" s="210"/>
    </row>
    <row r="897" ht="15.75" customHeight="1">
      <c r="A897" s="211"/>
      <c r="B897" s="210"/>
      <c r="C897" s="210"/>
    </row>
    <row r="898" ht="15.75" customHeight="1">
      <c r="A898" s="211"/>
      <c r="B898" s="210"/>
      <c r="C898" s="210"/>
    </row>
    <row r="899" ht="15.75" customHeight="1">
      <c r="A899" s="211"/>
      <c r="B899" s="210"/>
      <c r="C899" s="210"/>
    </row>
    <row r="900" ht="15.75" customHeight="1">
      <c r="A900" s="211"/>
      <c r="B900" s="210"/>
      <c r="C900" s="210"/>
    </row>
    <row r="901" ht="15.75" customHeight="1">
      <c r="A901" s="211"/>
      <c r="B901" s="210"/>
      <c r="C901" s="210"/>
    </row>
    <row r="902" ht="15.75" customHeight="1">
      <c r="A902" s="211"/>
      <c r="B902" s="210"/>
      <c r="C902" s="210"/>
    </row>
    <row r="903" ht="15.75" customHeight="1">
      <c r="A903" s="211"/>
      <c r="B903" s="210"/>
      <c r="C903" s="210"/>
    </row>
    <row r="904" ht="15.75" customHeight="1">
      <c r="A904" s="211"/>
      <c r="B904" s="210"/>
      <c r="C904" s="210"/>
    </row>
    <row r="905" ht="15.75" customHeight="1">
      <c r="A905" s="211"/>
      <c r="B905" s="210"/>
      <c r="C905" s="210"/>
    </row>
    <row r="906" ht="15.75" customHeight="1">
      <c r="A906" s="211"/>
      <c r="B906" s="210"/>
      <c r="C906" s="210"/>
    </row>
    <row r="907" ht="15.75" customHeight="1">
      <c r="A907" s="211"/>
      <c r="B907" s="210"/>
      <c r="C907" s="210"/>
    </row>
    <row r="908" ht="15.75" customHeight="1">
      <c r="A908" s="211"/>
      <c r="B908" s="210"/>
      <c r="C908" s="210"/>
    </row>
    <row r="909" ht="15.75" customHeight="1">
      <c r="A909" s="211"/>
      <c r="B909" s="210"/>
      <c r="C909" s="210"/>
    </row>
    <row r="910" ht="15.75" customHeight="1">
      <c r="A910" s="211"/>
      <c r="B910" s="210"/>
      <c r="C910" s="210"/>
    </row>
    <row r="911" ht="15.75" customHeight="1">
      <c r="A911" s="211"/>
      <c r="B911" s="210"/>
      <c r="C911" s="210"/>
    </row>
    <row r="912" ht="15.75" customHeight="1">
      <c r="A912" s="211"/>
      <c r="B912" s="210"/>
      <c r="C912" s="210"/>
    </row>
    <row r="913" ht="15.75" customHeight="1">
      <c r="A913" s="211"/>
      <c r="B913" s="210"/>
      <c r="C913" s="210"/>
    </row>
    <row r="914" ht="15.75" customHeight="1">
      <c r="A914" s="211"/>
      <c r="B914" s="210"/>
      <c r="C914" s="210"/>
    </row>
    <row r="915" ht="15.75" customHeight="1">
      <c r="A915" s="211"/>
      <c r="B915" s="210"/>
      <c r="C915" s="210"/>
    </row>
    <row r="916" ht="15.75" customHeight="1">
      <c r="A916" s="211"/>
      <c r="B916" s="210"/>
      <c r="C916" s="210"/>
    </row>
    <row r="917" ht="15.75" customHeight="1">
      <c r="A917" s="211"/>
      <c r="B917" s="210"/>
      <c r="C917" s="210"/>
    </row>
    <row r="918" ht="15.75" customHeight="1">
      <c r="A918" s="211"/>
      <c r="B918" s="210"/>
      <c r="C918" s="210"/>
    </row>
    <row r="919" ht="15.75" customHeight="1">
      <c r="A919" s="211"/>
      <c r="B919" s="210"/>
      <c r="C919" s="210"/>
    </row>
    <row r="920" ht="15.75" customHeight="1">
      <c r="A920" s="211"/>
      <c r="B920" s="210"/>
      <c r="C920" s="210"/>
    </row>
    <row r="921" ht="15.75" customHeight="1">
      <c r="A921" s="211"/>
      <c r="B921" s="210"/>
      <c r="C921" s="210"/>
    </row>
    <row r="922" ht="15.75" customHeight="1">
      <c r="A922" s="211"/>
      <c r="B922" s="210"/>
      <c r="C922" s="210"/>
    </row>
    <row r="923" ht="15.75" customHeight="1">
      <c r="A923" s="211"/>
      <c r="B923" s="210"/>
      <c r="C923" s="210"/>
    </row>
    <row r="924" ht="15.75" customHeight="1">
      <c r="A924" s="211"/>
      <c r="B924" s="210"/>
      <c r="C924" s="210"/>
    </row>
    <row r="925" ht="15.75" customHeight="1">
      <c r="A925" s="211"/>
      <c r="B925" s="210"/>
      <c r="C925" s="210"/>
    </row>
    <row r="926" ht="15.75" customHeight="1">
      <c r="A926" s="211"/>
      <c r="B926" s="210"/>
      <c r="C926" s="210"/>
    </row>
    <row r="927" ht="15.75" customHeight="1">
      <c r="A927" s="211"/>
      <c r="B927" s="210"/>
      <c r="C927" s="210"/>
    </row>
    <row r="928" ht="15.75" customHeight="1">
      <c r="A928" s="211"/>
      <c r="B928" s="210"/>
      <c r="C928" s="210"/>
    </row>
    <row r="929" ht="15.75" customHeight="1">
      <c r="A929" s="211"/>
      <c r="B929" s="210"/>
      <c r="C929" s="210"/>
    </row>
    <row r="930" ht="15.75" customHeight="1">
      <c r="A930" s="211"/>
      <c r="B930" s="210"/>
      <c r="C930" s="210"/>
    </row>
    <row r="931" ht="15.75" customHeight="1">
      <c r="A931" s="211"/>
      <c r="B931" s="210"/>
      <c r="C931" s="210"/>
    </row>
    <row r="932" ht="15.75" customHeight="1">
      <c r="A932" s="211"/>
      <c r="B932" s="210"/>
      <c r="C932" s="210"/>
    </row>
    <row r="933" ht="15.75" customHeight="1">
      <c r="A933" s="211"/>
      <c r="B933" s="210"/>
      <c r="C933" s="210"/>
    </row>
    <row r="934" ht="15.75" customHeight="1">
      <c r="A934" s="211"/>
      <c r="B934" s="210"/>
      <c r="C934" s="210"/>
    </row>
    <row r="935" ht="15.75" customHeight="1">
      <c r="A935" s="211"/>
      <c r="B935" s="210"/>
      <c r="C935" s="210"/>
    </row>
    <row r="936" ht="15.75" customHeight="1">
      <c r="A936" s="211"/>
      <c r="B936" s="210"/>
      <c r="C936" s="210"/>
    </row>
    <row r="937" ht="15.75" customHeight="1">
      <c r="A937" s="211"/>
      <c r="B937" s="210"/>
      <c r="C937" s="210"/>
    </row>
    <row r="938" ht="15.75" customHeight="1">
      <c r="A938" s="211"/>
      <c r="B938" s="210"/>
      <c r="C938" s="210"/>
    </row>
    <row r="939" ht="15.75" customHeight="1">
      <c r="A939" s="211"/>
      <c r="B939" s="210"/>
      <c r="C939" s="210"/>
    </row>
    <row r="940" ht="15.75" customHeight="1">
      <c r="A940" s="211"/>
      <c r="B940" s="210"/>
      <c r="C940" s="210"/>
    </row>
    <row r="941" ht="15.75" customHeight="1">
      <c r="A941" s="211"/>
      <c r="B941" s="210"/>
      <c r="C941" s="210"/>
    </row>
    <row r="942" ht="15.75" customHeight="1">
      <c r="A942" s="211"/>
      <c r="B942" s="210"/>
      <c r="C942" s="210"/>
    </row>
    <row r="943" ht="15.75" customHeight="1">
      <c r="A943" s="211"/>
      <c r="B943" s="210"/>
      <c r="C943" s="210"/>
    </row>
    <row r="944" ht="15.75" customHeight="1">
      <c r="A944" s="211"/>
      <c r="B944" s="210"/>
      <c r="C944" s="210"/>
    </row>
    <row r="945" ht="15.75" customHeight="1">
      <c r="A945" s="211"/>
      <c r="B945" s="210"/>
      <c r="C945" s="210"/>
    </row>
    <row r="946" ht="15.75" customHeight="1">
      <c r="A946" s="211"/>
      <c r="B946" s="210"/>
      <c r="C946" s="210"/>
    </row>
    <row r="947" ht="15.75" customHeight="1">
      <c r="A947" s="211"/>
      <c r="B947" s="210"/>
      <c r="C947" s="210"/>
    </row>
    <row r="948" ht="15.75" customHeight="1">
      <c r="A948" s="211"/>
      <c r="B948" s="210"/>
      <c r="C948" s="210"/>
    </row>
    <row r="949" ht="15.75" customHeight="1">
      <c r="A949" s="211"/>
      <c r="B949" s="210"/>
      <c r="C949" s="210"/>
    </row>
    <row r="950" ht="15.75" customHeight="1">
      <c r="A950" s="211"/>
      <c r="B950" s="210"/>
      <c r="C950" s="210"/>
    </row>
    <row r="951" ht="15.75" customHeight="1">
      <c r="A951" s="211"/>
      <c r="B951" s="210"/>
      <c r="C951" s="210"/>
    </row>
    <row r="952" ht="15.75" customHeight="1">
      <c r="A952" s="211"/>
      <c r="B952" s="210"/>
      <c r="C952" s="210"/>
    </row>
    <row r="953" ht="15.75" customHeight="1">
      <c r="A953" s="211"/>
      <c r="B953" s="210"/>
      <c r="C953" s="210"/>
    </row>
    <row r="954" ht="15.75" customHeight="1">
      <c r="A954" s="211"/>
      <c r="B954" s="210"/>
      <c r="C954" s="210"/>
    </row>
    <row r="955" ht="15.75" customHeight="1">
      <c r="A955" s="211"/>
      <c r="B955" s="210"/>
      <c r="C955" s="210"/>
    </row>
    <row r="956" ht="15.75" customHeight="1">
      <c r="A956" s="211"/>
      <c r="B956" s="210"/>
      <c r="C956" s="210"/>
    </row>
    <row r="957" ht="15.75" customHeight="1">
      <c r="A957" s="211"/>
      <c r="B957" s="210"/>
      <c r="C957" s="210"/>
    </row>
    <row r="958" ht="15.75" customHeight="1">
      <c r="A958" s="211"/>
      <c r="B958" s="210"/>
      <c r="C958" s="210"/>
    </row>
    <row r="959" ht="15.75" customHeight="1">
      <c r="A959" s="211"/>
      <c r="B959" s="210"/>
      <c r="C959" s="210"/>
    </row>
    <row r="960" ht="15.75" customHeight="1">
      <c r="A960" s="211"/>
      <c r="B960" s="210"/>
      <c r="C960" s="210"/>
    </row>
    <row r="961" ht="15.75" customHeight="1">
      <c r="A961" s="211"/>
      <c r="B961" s="210"/>
      <c r="C961" s="210"/>
    </row>
    <row r="962" ht="15.75" customHeight="1">
      <c r="A962" s="211"/>
      <c r="B962" s="210"/>
      <c r="C962" s="210"/>
    </row>
    <row r="963" ht="15.75" customHeight="1">
      <c r="A963" s="211"/>
      <c r="B963" s="210"/>
      <c r="C963" s="210"/>
    </row>
    <row r="964" ht="15.75" customHeight="1">
      <c r="A964" s="211"/>
      <c r="B964" s="210"/>
      <c r="C964" s="210"/>
    </row>
    <row r="965" ht="15.75" customHeight="1">
      <c r="A965" s="211"/>
      <c r="B965" s="210"/>
      <c r="C965" s="210"/>
    </row>
    <row r="966" ht="15.75" customHeight="1">
      <c r="A966" s="211"/>
      <c r="B966" s="210"/>
      <c r="C966" s="210"/>
    </row>
    <row r="967" ht="15.75" customHeight="1">
      <c r="A967" s="211"/>
      <c r="B967" s="210"/>
      <c r="C967" s="210"/>
    </row>
    <row r="968" ht="15.75" customHeight="1">
      <c r="A968" s="211"/>
      <c r="B968" s="210"/>
      <c r="C968" s="210"/>
    </row>
    <row r="969" ht="15.75" customHeight="1">
      <c r="A969" s="211"/>
      <c r="B969" s="210"/>
      <c r="C969" s="210"/>
    </row>
    <row r="970" ht="15.75" customHeight="1">
      <c r="A970" s="211"/>
      <c r="B970" s="210"/>
      <c r="C970" s="210"/>
    </row>
    <row r="971" ht="15.75" customHeight="1">
      <c r="A971" s="211"/>
      <c r="B971" s="210"/>
      <c r="C971" s="210"/>
    </row>
    <row r="972" ht="15.75" customHeight="1">
      <c r="A972" s="211"/>
      <c r="B972" s="210"/>
      <c r="C972" s="210"/>
    </row>
    <row r="973" ht="15.75" customHeight="1">
      <c r="A973" s="211"/>
      <c r="B973" s="210"/>
      <c r="C973" s="210"/>
    </row>
    <row r="974" ht="15.75" customHeight="1">
      <c r="A974" s="211"/>
      <c r="B974" s="210"/>
      <c r="C974" s="210"/>
    </row>
    <row r="975" ht="15.75" customHeight="1">
      <c r="A975" s="211"/>
      <c r="B975" s="210"/>
      <c r="C975" s="210"/>
    </row>
    <row r="976" ht="15.75" customHeight="1">
      <c r="A976" s="211"/>
      <c r="B976" s="210"/>
      <c r="C976" s="210"/>
    </row>
    <row r="977" ht="15.75" customHeight="1">
      <c r="A977" s="211"/>
      <c r="B977" s="210"/>
      <c r="C977" s="210"/>
    </row>
    <row r="978" ht="15.75" customHeight="1">
      <c r="A978" s="211"/>
      <c r="B978" s="210"/>
      <c r="C978" s="210"/>
    </row>
    <row r="979" ht="15.75" customHeight="1">
      <c r="A979" s="211"/>
      <c r="B979" s="210"/>
      <c r="C979" s="210"/>
    </row>
    <row r="980" ht="15.75" customHeight="1">
      <c r="A980" s="211"/>
      <c r="B980" s="210"/>
      <c r="C980" s="210"/>
    </row>
    <row r="981" ht="15.75" customHeight="1">
      <c r="A981" s="211"/>
      <c r="B981" s="210"/>
      <c r="C981" s="210"/>
    </row>
    <row r="982" ht="15.75" customHeight="1">
      <c r="A982" s="211"/>
      <c r="B982" s="210"/>
      <c r="C982" s="210"/>
    </row>
    <row r="983" ht="15.75" customHeight="1">
      <c r="A983" s="211"/>
      <c r="B983" s="210"/>
      <c r="C983" s="210"/>
    </row>
    <row r="984" ht="15.75" customHeight="1">
      <c r="A984" s="211"/>
      <c r="B984" s="210"/>
      <c r="C984" s="210"/>
    </row>
    <row r="985" ht="15.75" customHeight="1">
      <c r="A985" s="211"/>
      <c r="B985" s="210"/>
      <c r="C985" s="210"/>
    </row>
    <row r="986" ht="15.75" customHeight="1">
      <c r="A986" s="211"/>
      <c r="B986" s="210"/>
      <c r="C986" s="210"/>
    </row>
    <row r="987" ht="15.75" customHeight="1">
      <c r="A987" s="211"/>
      <c r="B987" s="210"/>
      <c r="C987" s="210"/>
    </row>
    <row r="988" ht="15.75" customHeight="1">
      <c r="A988" s="211"/>
      <c r="B988" s="210"/>
      <c r="C988" s="210"/>
    </row>
    <row r="989" ht="15.75" customHeight="1">
      <c r="A989" s="211"/>
      <c r="B989" s="210"/>
      <c r="C989" s="210"/>
    </row>
    <row r="990" ht="15.75" customHeight="1">
      <c r="A990" s="211"/>
      <c r="B990" s="210"/>
      <c r="C990" s="210"/>
    </row>
    <row r="991" ht="15.75" customHeight="1">
      <c r="A991" s="211"/>
      <c r="B991" s="210"/>
      <c r="C991" s="210"/>
    </row>
    <row r="992" ht="15.75" customHeight="1">
      <c r="A992" s="211"/>
      <c r="B992" s="210"/>
      <c r="C992" s="210"/>
    </row>
    <row r="993" ht="15.75" customHeight="1">
      <c r="A993" s="211"/>
      <c r="B993" s="210"/>
      <c r="C993" s="210"/>
    </row>
    <row r="994" ht="15.75" customHeight="1">
      <c r="A994" s="211"/>
      <c r="B994" s="210"/>
      <c r="C994" s="210"/>
    </row>
    <row r="995" ht="15.75" customHeight="1">
      <c r="A995" s="211"/>
      <c r="B995" s="210"/>
      <c r="C995" s="210"/>
    </row>
    <row r="996" ht="15.75" customHeight="1">
      <c r="A996" s="211"/>
      <c r="B996" s="210"/>
      <c r="C996" s="210"/>
    </row>
    <row r="997" ht="15.75" customHeight="1">
      <c r="A997" s="211"/>
      <c r="B997" s="210"/>
      <c r="C997" s="210"/>
    </row>
    <row r="998" ht="15.75" customHeight="1">
      <c r="A998" s="211"/>
      <c r="B998" s="210"/>
      <c r="C998" s="210"/>
    </row>
    <row r="999" ht="15.75" customHeight="1">
      <c r="A999" s="211"/>
      <c r="B999" s="210"/>
      <c r="C999" s="210"/>
    </row>
    <row r="1000" ht="15.75" customHeight="1">
      <c r="A1000" s="211"/>
      <c r="B1000" s="210"/>
      <c r="C1000" s="210"/>
    </row>
  </sheetData>
  <printOptions/>
  <pageMargins bottom="1.0" footer="0.0" header="0.0" left="0.75" right="0.75" top="1.0"/>
  <pageSetup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11.0"/>
    <col customWidth="1" min="7" max="7" width="10.78"/>
    <col customWidth="1" min="8" max="8" width="12.33"/>
    <col customWidth="1" min="9" max="26" width="11.0"/>
  </cols>
  <sheetData>
    <row r="1" ht="15.75" customHeight="1">
      <c r="A1" s="212" t="str">
        <f>'User Inputs and DR Shed Results'!B15</f>
        <v>MediumOffice</v>
      </c>
      <c r="B1" s="213" t="str">
        <f>CECCZ</f>
        <v>#NAME?</v>
      </c>
      <c r="C1" s="213"/>
      <c r="D1" s="214"/>
      <c r="E1" s="213"/>
      <c r="F1" s="213"/>
      <c r="G1" s="215" t="s">
        <v>205</v>
      </c>
      <c r="H1" s="215" t="str">
        <f>CompressorOnly</f>
        <v>#NAME?</v>
      </c>
      <c r="I1" s="213"/>
      <c r="J1" s="216"/>
    </row>
    <row r="2" ht="15.75" customHeight="1">
      <c r="A2" s="217" t="s">
        <v>229</v>
      </c>
      <c r="B2" s="218" t="s">
        <v>230</v>
      </c>
      <c r="C2" s="218" t="s">
        <v>231</v>
      </c>
      <c r="D2" s="218" t="s">
        <v>232</v>
      </c>
      <c r="E2" s="218" t="s">
        <v>233</v>
      </c>
      <c r="F2" s="218" t="s">
        <v>234</v>
      </c>
      <c r="G2" s="218" t="s">
        <v>207</v>
      </c>
      <c r="H2" s="219" t="str">
        <f>DutyCycleMinutes</f>
        <v>#NAME?</v>
      </c>
      <c r="I2" s="218" t="s">
        <v>235</v>
      </c>
      <c r="J2" s="220" t="s">
        <v>236</v>
      </c>
    </row>
    <row r="3" ht="15.75" customHeight="1">
      <c r="A3" s="36"/>
      <c r="B3" s="221" t="str">
        <f t="shared" ref="B3:B18" si="2">#REF!</f>
        <v>#REF!</v>
      </c>
      <c r="C3" s="196">
        <v>1.0</v>
      </c>
      <c r="D3" s="222" t="str">
        <f t="shared" ref="D3:E3" si="1">#REF!</f>
        <v>#REF!</v>
      </c>
      <c r="E3" s="223" t="str">
        <f t="shared" si="1"/>
        <v>#REF!</v>
      </c>
      <c r="F3" s="196" t="str">
        <f t="shared" ref="F3:F18" si="4">IF(E3&lt;75,1,IF(AND(E3&gt;=75, E3&lt;95),2,IF(E3&gt;=95,3)))</f>
        <v>#REF!</v>
      </c>
      <c r="G3" s="224" t="str">
        <f>IF($B$1="CZ03",VLOOKUP($A$1&amp;CECCZ&amp;$G$2&amp;CompressorOnly&amp;$C3,CZ03CycleOnOff,7,0),IF($B$1="CZ04",VLOOKUP($A$1&amp;CECCZ&amp;$G$2&amp;CompressorOnly&amp;$C3,CZ04CycleOnOff,7,0),IF(CECCZ="CZ12",VLOOKUP($A$1&amp;CECCZ&amp;$G$2&amp;CompressorOnly&amp;$C3,CZ12CycleOnOff,7,0),IF(CECCZ="CZ13",VLOOKUP($A$1&amp;CECCZ&amp;$G$2&amp;CompressorOnly&amp;$C3,CZ13CycleOnOff,7,0)))))</f>
        <v>#NAME?</v>
      </c>
      <c r="H3" s="224" t="str">
        <f>IF(CECCZ="CZ03",VLOOKUP($A$1&amp;CECCZ&amp;$G$2&amp;CompressorOnly&amp;$C3,CZ03CycleOnOff,8,0),IF(CECCZ="CZ04",VLOOKUP($A$1&amp;CECCZ&amp;$G$2&amp;CompressorOnly&amp;$C3,CZ04CycleOnOff,8,0),IF(CECCZ="CZ12",VLOOKUP($A$1&amp;CECCZ&amp;$G$2&amp;CompressorOnly&amp;$C3,CZ12CycleOnOff,8,0),IF(CECCZ="CZ13",VLOOKUP($A$1&amp;CECCZ&amp;$G$2&amp;CompressorOnly&amp;$C3,CZ13CycleOnOff,8,0)))))</f>
        <v>#NAME?</v>
      </c>
      <c r="I3" s="224" t="str">
        <f t="shared" ref="I3:I18" si="5">(E3*G3+H3)/100*DutyCycleMinutes/60</f>
        <v>#REF!</v>
      </c>
      <c r="J3" s="225" t="str">
        <f t="shared" ref="J3:J18" si="6">I3*D3</f>
        <v>#REF!</v>
      </c>
    </row>
    <row r="4" ht="15.75" customHeight="1">
      <c r="A4" s="36"/>
      <c r="B4" s="221" t="str">
        <f t="shared" si="2"/>
        <v>#REF!</v>
      </c>
      <c r="C4" s="196">
        <v>1.0</v>
      </c>
      <c r="D4" s="222" t="str">
        <f t="shared" ref="D4:E4" si="3">#REF!</f>
        <v>#REF!</v>
      </c>
      <c r="E4" s="223" t="str">
        <f t="shared" si="3"/>
        <v>#REF!</v>
      </c>
      <c r="F4" s="196" t="str">
        <f t="shared" si="4"/>
        <v>#REF!</v>
      </c>
      <c r="G4" s="224" t="str">
        <f>IF($B$1="CZ03",VLOOKUP($A$1&amp;CECCZ&amp;$G$2&amp;CompressorOnly&amp;$C4,CZ03CycleOnOff,7,0),IF($B$1="CZ04",VLOOKUP($A$1&amp;CECCZ&amp;$G$2&amp;CompressorOnly&amp;$C4,CZ04CycleOnOff,7,0),IF(CECCZ="CZ12",VLOOKUP($A$1&amp;CECCZ&amp;$G$2&amp;CompressorOnly&amp;$C4,CZ12CycleOnOff,7,0),IF(CECCZ="CZ13",VLOOKUP($A$1&amp;CECCZ&amp;$G$2&amp;CompressorOnly&amp;$C4,CZ13CycleOnOff,7,0)))))</f>
        <v>#NAME?</v>
      </c>
      <c r="H4" s="224" t="str">
        <f>IF(CECCZ="CZ03",VLOOKUP($A$1&amp;CECCZ&amp;$G$2&amp;CompressorOnly&amp;$C4,CZ03CycleOnOff,8,0),IF(CECCZ="CZ04",VLOOKUP($A$1&amp;CECCZ&amp;$G$2&amp;CompressorOnly&amp;$C4,CZ04CycleOnOff,8,0),IF(CECCZ="CZ12",VLOOKUP($A$1&amp;CECCZ&amp;$G$2&amp;CompressorOnly&amp;$C4,CZ12CycleOnOff,8,0),IF(CECCZ="CZ13",VLOOKUP($A$1&amp;CECCZ&amp;$G$2&amp;CompressorOnly&amp;$C4,CZ13CycleOnOff,8,0)))))</f>
        <v>#NAME?</v>
      </c>
      <c r="I4" s="224" t="str">
        <f t="shared" si="5"/>
        <v>#REF!</v>
      </c>
      <c r="J4" s="225" t="str">
        <f t="shared" si="6"/>
        <v>#REF!</v>
      </c>
    </row>
    <row r="5" ht="15.75" customHeight="1">
      <c r="A5" s="36"/>
      <c r="B5" s="221" t="str">
        <f t="shared" si="2"/>
        <v>#REF!</v>
      </c>
      <c r="C5" s="196">
        <v>1.0</v>
      </c>
      <c r="D5" s="222" t="str">
        <f t="shared" ref="D5:E5" si="7">#REF!</f>
        <v>#REF!</v>
      </c>
      <c r="E5" s="223" t="str">
        <f t="shared" si="7"/>
        <v>#REF!</v>
      </c>
      <c r="F5" s="196" t="str">
        <f t="shared" si="4"/>
        <v>#REF!</v>
      </c>
      <c r="G5" s="224" t="str">
        <f>IF($B$1="CZ03",VLOOKUP($A$1&amp;CECCZ&amp;$G$2&amp;CompressorOnly&amp;$C5,CZ03CycleOnOff,7,0),IF($B$1="CZ04",VLOOKUP($A$1&amp;CECCZ&amp;$G$2&amp;CompressorOnly&amp;$C5,CZ04CycleOnOff,7,0),IF(CECCZ="CZ12",VLOOKUP($A$1&amp;CECCZ&amp;$G$2&amp;CompressorOnly&amp;$C5,CZ12CycleOnOff,7,0),IF(CECCZ="CZ13",VLOOKUP($A$1&amp;CECCZ&amp;$G$2&amp;CompressorOnly&amp;$C5,CZ13CycleOnOff,7,0)))))</f>
        <v>#NAME?</v>
      </c>
      <c r="H5" s="224" t="str">
        <f>IF(CECCZ="CZ03",VLOOKUP($A$1&amp;CECCZ&amp;$G$2&amp;CompressorOnly&amp;$C5,CZ03CycleOnOff,8,0),IF(CECCZ="CZ04",VLOOKUP($A$1&amp;CECCZ&amp;$G$2&amp;CompressorOnly&amp;$C5,CZ04CycleOnOff,8,0),IF(CECCZ="CZ12",VLOOKUP($A$1&amp;CECCZ&amp;$G$2&amp;CompressorOnly&amp;$C5,CZ12CycleOnOff,8,0),IF(CECCZ="CZ13",VLOOKUP($A$1&amp;CECCZ&amp;$G$2&amp;CompressorOnly&amp;$C5,CZ13CycleOnOff,8,0)))))</f>
        <v>#NAME?</v>
      </c>
      <c r="I5" s="224" t="str">
        <f t="shared" si="5"/>
        <v>#REF!</v>
      </c>
      <c r="J5" s="225" t="str">
        <f t="shared" si="6"/>
        <v>#REF!</v>
      </c>
    </row>
    <row r="6" ht="15.75" customHeight="1">
      <c r="A6" s="36"/>
      <c r="B6" s="221" t="str">
        <f t="shared" si="2"/>
        <v>#REF!</v>
      </c>
      <c r="C6" s="196">
        <v>1.0</v>
      </c>
      <c r="D6" s="222" t="str">
        <f t="shared" ref="D6:E6" si="8">#REF!</f>
        <v>#REF!</v>
      </c>
      <c r="E6" s="223" t="str">
        <f t="shared" si="8"/>
        <v>#REF!</v>
      </c>
      <c r="F6" s="196" t="str">
        <f t="shared" si="4"/>
        <v>#REF!</v>
      </c>
      <c r="G6" s="224" t="str">
        <f>IF($B$1="CZ03",VLOOKUP($A$1&amp;CECCZ&amp;$G$2&amp;CompressorOnly&amp;$C6,CZ03CycleOnOff,7,0),IF($B$1="CZ04",VLOOKUP($A$1&amp;CECCZ&amp;$G$2&amp;CompressorOnly&amp;$C6,CZ04CycleOnOff,7,0),IF(CECCZ="CZ12",VLOOKUP($A$1&amp;CECCZ&amp;$G$2&amp;CompressorOnly&amp;$C6,CZ12CycleOnOff,7,0),IF(CECCZ="CZ13",VLOOKUP($A$1&amp;CECCZ&amp;$G$2&amp;CompressorOnly&amp;$C6,CZ13CycleOnOff,7,0)))))</f>
        <v>#NAME?</v>
      </c>
      <c r="H6" s="224" t="str">
        <f>IF(CECCZ="CZ03",VLOOKUP($A$1&amp;CECCZ&amp;$G$2&amp;CompressorOnly&amp;$C6,CZ03CycleOnOff,8,0),IF(CECCZ="CZ04",VLOOKUP($A$1&amp;CECCZ&amp;$G$2&amp;CompressorOnly&amp;$C6,CZ04CycleOnOff,8,0),IF(CECCZ="CZ12",VLOOKUP($A$1&amp;CECCZ&amp;$G$2&amp;CompressorOnly&amp;$C6,CZ12CycleOnOff,8,0),IF(CECCZ="CZ13",VLOOKUP($A$1&amp;CECCZ&amp;$G$2&amp;CompressorOnly&amp;$C6,CZ13CycleOnOff,8,0)))))</f>
        <v>#NAME?</v>
      </c>
      <c r="I6" s="224" t="str">
        <f t="shared" si="5"/>
        <v>#REF!</v>
      </c>
      <c r="J6" s="225" t="str">
        <f t="shared" si="6"/>
        <v>#REF!</v>
      </c>
    </row>
    <row r="7" ht="15.75" customHeight="1">
      <c r="A7" s="36"/>
      <c r="B7" s="221" t="str">
        <f t="shared" si="2"/>
        <v>#REF!</v>
      </c>
      <c r="C7" s="196">
        <v>2.0</v>
      </c>
      <c r="D7" s="222" t="str">
        <f t="shared" ref="D7:E7" si="9">#REF!</f>
        <v>#REF!</v>
      </c>
      <c r="E7" s="223" t="str">
        <f t="shared" si="9"/>
        <v>#REF!</v>
      </c>
      <c r="F7" s="196" t="str">
        <f t="shared" si="4"/>
        <v>#REF!</v>
      </c>
      <c r="G7" s="224" t="str">
        <f>IF($B$1="CZ03",VLOOKUP($A$1&amp;CECCZ&amp;$G$2&amp;CompressorOnly&amp;$C7,CZ03CycleOnOff,7,0),IF($B$1="CZ04",VLOOKUP($A$1&amp;CECCZ&amp;$G$2&amp;CompressorOnly&amp;$C7,CZ04CycleOnOff,7,0),IF(CECCZ="CZ12",VLOOKUP($A$1&amp;CECCZ&amp;$G$2&amp;CompressorOnly&amp;$C7,CZ12CycleOnOff,7,0),IF(CECCZ="CZ13",VLOOKUP($A$1&amp;CECCZ&amp;$G$2&amp;CompressorOnly&amp;$C7,CZ13CycleOnOff,7,0)))))</f>
        <v>#NAME?</v>
      </c>
      <c r="H7" s="224" t="str">
        <f>IF(CECCZ="CZ03",VLOOKUP($A$1&amp;CECCZ&amp;$G$2&amp;CompressorOnly&amp;$C7,CZ03CycleOnOff,8,0),IF(CECCZ="CZ04",VLOOKUP($A$1&amp;CECCZ&amp;$G$2&amp;CompressorOnly&amp;$C7,CZ04CycleOnOff,8,0),IF(CECCZ="CZ12",VLOOKUP($A$1&amp;CECCZ&amp;$G$2&amp;CompressorOnly&amp;$C7,CZ12CycleOnOff,8,0),IF(CECCZ="CZ13",VLOOKUP($A$1&amp;CECCZ&amp;$G$2&amp;CompressorOnly&amp;$C7,CZ13CycleOnOff,8,0)))))</f>
        <v>#NAME?</v>
      </c>
      <c r="I7" s="224" t="str">
        <f t="shared" si="5"/>
        <v>#REF!</v>
      </c>
      <c r="J7" s="225" t="str">
        <f t="shared" si="6"/>
        <v>#REF!</v>
      </c>
    </row>
    <row r="8" ht="15.75" customHeight="1">
      <c r="A8" s="36"/>
      <c r="B8" s="221" t="str">
        <f t="shared" si="2"/>
        <v>#REF!</v>
      </c>
      <c r="C8" s="196">
        <v>2.0</v>
      </c>
      <c r="D8" s="222" t="str">
        <f t="shared" ref="D8:E8" si="10">#REF!</f>
        <v>#REF!</v>
      </c>
      <c r="E8" s="223" t="str">
        <f t="shared" si="10"/>
        <v>#REF!</v>
      </c>
      <c r="F8" s="196" t="str">
        <f t="shared" si="4"/>
        <v>#REF!</v>
      </c>
      <c r="G8" s="224" t="str">
        <f>IF($B$1="CZ03",VLOOKUP($A$1&amp;CECCZ&amp;$G$2&amp;CompressorOnly&amp;$C8,CZ03CycleOnOff,7,0),IF($B$1="CZ04",VLOOKUP($A$1&amp;CECCZ&amp;$G$2&amp;CompressorOnly&amp;$C8,CZ04CycleOnOff,7,0),IF(CECCZ="CZ12",VLOOKUP($A$1&amp;CECCZ&amp;$G$2&amp;CompressorOnly&amp;$C8,CZ12CycleOnOff,7,0),IF(CECCZ="CZ13",VLOOKUP($A$1&amp;CECCZ&amp;$G$2&amp;CompressorOnly&amp;$C8,CZ13CycleOnOff,7,0)))))</f>
        <v>#NAME?</v>
      </c>
      <c r="H8" s="224" t="str">
        <f>IF(CECCZ="CZ03",VLOOKUP($A$1&amp;CECCZ&amp;$G$2&amp;CompressorOnly&amp;$C8,CZ03CycleOnOff,8,0),IF(CECCZ="CZ04",VLOOKUP($A$1&amp;CECCZ&amp;$G$2&amp;CompressorOnly&amp;$C8,CZ04CycleOnOff,8,0),IF(CECCZ="CZ12",VLOOKUP($A$1&amp;CECCZ&amp;$G$2&amp;CompressorOnly&amp;$C8,CZ12CycleOnOff,8,0),IF(CECCZ="CZ13",VLOOKUP($A$1&amp;CECCZ&amp;$G$2&amp;CompressorOnly&amp;$C8,CZ13CycleOnOff,8,0)))))</f>
        <v>#NAME?</v>
      </c>
      <c r="I8" s="224" t="str">
        <f t="shared" si="5"/>
        <v>#REF!</v>
      </c>
      <c r="J8" s="225" t="str">
        <f t="shared" si="6"/>
        <v>#REF!</v>
      </c>
    </row>
    <row r="9" ht="15.75" customHeight="1">
      <c r="A9" s="36"/>
      <c r="B9" s="221" t="str">
        <f t="shared" si="2"/>
        <v>#REF!</v>
      </c>
      <c r="C9" s="196">
        <v>2.0</v>
      </c>
      <c r="D9" s="222" t="str">
        <f t="shared" ref="D9:E9" si="11">#REF!</f>
        <v>#REF!</v>
      </c>
      <c r="E9" s="223" t="str">
        <f t="shared" si="11"/>
        <v>#REF!</v>
      </c>
      <c r="F9" s="196" t="str">
        <f t="shared" si="4"/>
        <v>#REF!</v>
      </c>
      <c r="G9" s="224" t="str">
        <f>IF($B$1="CZ03",VLOOKUP($A$1&amp;CECCZ&amp;$G$2&amp;CompressorOnly&amp;$C9,CZ03CycleOnOff,7,0),IF($B$1="CZ04",VLOOKUP($A$1&amp;CECCZ&amp;$G$2&amp;CompressorOnly&amp;$C9,CZ04CycleOnOff,7,0),IF(CECCZ="CZ12",VLOOKUP($A$1&amp;CECCZ&amp;$G$2&amp;CompressorOnly&amp;$C9,CZ12CycleOnOff,7,0),IF(CECCZ="CZ13",VLOOKUP($A$1&amp;CECCZ&amp;$G$2&amp;CompressorOnly&amp;$C9,CZ13CycleOnOff,7,0)))))</f>
        <v>#NAME?</v>
      </c>
      <c r="H9" s="224" t="str">
        <f>IF(CECCZ="CZ03",VLOOKUP($A$1&amp;CECCZ&amp;$G$2&amp;CompressorOnly&amp;$C9,CZ03CycleOnOff,8,0),IF(CECCZ="CZ04",VLOOKUP($A$1&amp;CECCZ&amp;$G$2&amp;CompressorOnly&amp;$C9,CZ04CycleOnOff,8,0),IF(CECCZ="CZ12",VLOOKUP($A$1&amp;CECCZ&amp;$G$2&amp;CompressorOnly&amp;$C9,CZ12CycleOnOff,8,0),IF(CECCZ="CZ13",VLOOKUP($A$1&amp;CECCZ&amp;$G$2&amp;CompressorOnly&amp;$C9,CZ13CycleOnOff,8,0)))))</f>
        <v>#NAME?</v>
      </c>
      <c r="I9" s="224" t="str">
        <f t="shared" si="5"/>
        <v>#REF!</v>
      </c>
      <c r="J9" s="225" t="str">
        <f t="shared" si="6"/>
        <v>#REF!</v>
      </c>
    </row>
    <row r="10" ht="15.75" customHeight="1">
      <c r="A10" s="36"/>
      <c r="B10" s="221" t="str">
        <f t="shared" si="2"/>
        <v>#REF!</v>
      </c>
      <c r="C10" s="196">
        <v>2.0</v>
      </c>
      <c r="D10" s="222" t="str">
        <f t="shared" ref="D10:E10" si="12">#REF!</f>
        <v>#REF!</v>
      </c>
      <c r="E10" s="223" t="str">
        <f t="shared" si="12"/>
        <v>#REF!</v>
      </c>
      <c r="F10" s="196" t="str">
        <f t="shared" si="4"/>
        <v>#REF!</v>
      </c>
      <c r="G10" s="224" t="str">
        <f>IF($B$1="CZ03",VLOOKUP($A$1&amp;CECCZ&amp;$G$2&amp;CompressorOnly&amp;$C10,CZ03CycleOnOff,7,0),IF($B$1="CZ04",VLOOKUP($A$1&amp;CECCZ&amp;$G$2&amp;CompressorOnly&amp;$C10,CZ04CycleOnOff,7,0),IF(CECCZ="CZ12",VLOOKUP($A$1&amp;CECCZ&amp;$G$2&amp;CompressorOnly&amp;$C10,CZ12CycleOnOff,7,0),IF(CECCZ="CZ13",VLOOKUP($A$1&amp;CECCZ&amp;$G$2&amp;CompressorOnly&amp;$C10,CZ13CycleOnOff,7,0)))))</f>
        <v>#NAME?</v>
      </c>
      <c r="H10" s="224" t="str">
        <f>IF(CECCZ="CZ03",VLOOKUP($A$1&amp;CECCZ&amp;$G$2&amp;CompressorOnly&amp;$C10,CZ03CycleOnOff,8,0),IF(CECCZ="CZ04",VLOOKUP($A$1&amp;CECCZ&amp;$G$2&amp;CompressorOnly&amp;$C10,CZ04CycleOnOff,8,0),IF(CECCZ="CZ12",VLOOKUP($A$1&amp;CECCZ&amp;$G$2&amp;CompressorOnly&amp;$C10,CZ12CycleOnOff,8,0),IF(CECCZ="CZ13",VLOOKUP($A$1&amp;CECCZ&amp;$G$2&amp;CompressorOnly&amp;$C10,CZ13CycleOnOff,8,0)))))</f>
        <v>#NAME?</v>
      </c>
      <c r="I10" s="224" t="str">
        <f t="shared" si="5"/>
        <v>#REF!</v>
      </c>
      <c r="J10" s="225" t="str">
        <f t="shared" si="6"/>
        <v>#REF!</v>
      </c>
    </row>
    <row r="11" ht="15.75" customHeight="1">
      <c r="A11" s="36"/>
      <c r="B11" s="221" t="str">
        <f t="shared" si="2"/>
        <v>#REF!</v>
      </c>
      <c r="C11" s="196">
        <v>3.0</v>
      </c>
      <c r="D11" s="222" t="str">
        <f t="shared" ref="D11:E11" si="13">#REF!</f>
        <v>#REF!</v>
      </c>
      <c r="E11" s="223" t="str">
        <f t="shared" si="13"/>
        <v>#REF!</v>
      </c>
      <c r="F11" s="196" t="str">
        <f t="shared" si="4"/>
        <v>#REF!</v>
      </c>
      <c r="G11" s="224" t="str">
        <f>IF($B$1="CZ03",VLOOKUP($A$1&amp;CECCZ&amp;$G$2&amp;CompressorOnly&amp;$C11,CZ03CycleOnOff,7,0),IF($B$1="CZ04",VLOOKUP($A$1&amp;CECCZ&amp;$G$2&amp;CompressorOnly&amp;$C11,CZ04CycleOnOff,7,0),IF(CECCZ="CZ12",VLOOKUP($A$1&amp;CECCZ&amp;$G$2&amp;CompressorOnly&amp;$C11,CZ12CycleOnOff,7,0),IF(CECCZ="CZ13",VLOOKUP($A$1&amp;CECCZ&amp;$G$2&amp;CompressorOnly&amp;$C11,CZ13CycleOnOff,7,0)))))</f>
        <v>#NAME?</v>
      </c>
      <c r="H11" s="224" t="str">
        <f>IF(CECCZ="CZ03",VLOOKUP($A$1&amp;CECCZ&amp;$G$2&amp;CompressorOnly&amp;$C11,CZ03CycleOnOff,8,0),IF(CECCZ="CZ04",VLOOKUP($A$1&amp;CECCZ&amp;$G$2&amp;CompressorOnly&amp;$C11,CZ04CycleOnOff,8,0),IF(CECCZ="CZ12",VLOOKUP($A$1&amp;CECCZ&amp;$G$2&amp;CompressorOnly&amp;$C11,CZ12CycleOnOff,8,0),IF(CECCZ="CZ13",VLOOKUP($A$1&amp;CECCZ&amp;$G$2&amp;CompressorOnly&amp;$C11,CZ13CycleOnOff,8,0)))))</f>
        <v>#NAME?</v>
      </c>
      <c r="I11" s="224" t="str">
        <f t="shared" si="5"/>
        <v>#REF!</v>
      </c>
      <c r="J11" s="225" t="str">
        <f t="shared" si="6"/>
        <v>#REF!</v>
      </c>
    </row>
    <row r="12" ht="15.75" customHeight="1">
      <c r="A12" s="36"/>
      <c r="B12" s="221" t="str">
        <f t="shared" si="2"/>
        <v>#REF!</v>
      </c>
      <c r="C12" s="196">
        <v>3.0</v>
      </c>
      <c r="D12" s="222" t="str">
        <f t="shared" ref="D12:E12" si="14">#REF!</f>
        <v>#REF!</v>
      </c>
      <c r="E12" s="223" t="str">
        <f t="shared" si="14"/>
        <v>#REF!</v>
      </c>
      <c r="F12" s="196" t="str">
        <f t="shared" si="4"/>
        <v>#REF!</v>
      </c>
      <c r="G12" s="224" t="str">
        <f>IF($B$1="CZ03",VLOOKUP($A$1&amp;CECCZ&amp;$G$2&amp;CompressorOnly&amp;$C12,CZ03CycleOnOff,7,0),IF($B$1="CZ04",VLOOKUP($A$1&amp;CECCZ&amp;$G$2&amp;CompressorOnly&amp;$C12,CZ04CycleOnOff,7,0),IF(CECCZ="CZ12",VLOOKUP($A$1&amp;CECCZ&amp;$G$2&amp;CompressorOnly&amp;$C12,CZ12CycleOnOff,7,0),IF(CECCZ="CZ13",VLOOKUP($A$1&amp;CECCZ&amp;$G$2&amp;CompressorOnly&amp;$C12,CZ13CycleOnOff,7,0)))))</f>
        <v>#NAME?</v>
      </c>
      <c r="H12" s="224" t="str">
        <f>IF(CECCZ="CZ03",VLOOKUP($A$1&amp;CECCZ&amp;$G$2&amp;CompressorOnly&amp;$C12,CZ03CycleOnOff,8,0),IF(CECCZ="CZ04",VLOOKUP($A$1&amp;CECCZ&amp;$G$2&amp;CompressorOnly&amp;$C12,CZ04CycleOnOff,8,0),IF(CECCZ="CZ12",VLOOKUP($A$1&amp;CECCZ&amp;$G$2&amp;CompressorOnly&amp;$C12,CZ12CycleOnOff,8,0),IF(CECCZ="CZ13",VLOOKUP($A$1&amp;CECCZ&amp;$G$2&amp;CompressorOnly&amp;$C12,CZ13CycleOnOff,8,0)))))</f>
        <v>#NAME?</v>
      </c>
      <c r="I12" s="224" t="str">
        <f t="shared" si="5"/>
        <v>#REF!</v>
      </c>
      <c r="J12" s="225" t="str">
        <f t="shared" si="6"/>
        <v>#REF!</v>
      </c>
    </row>
    <row r="13" ht="15.75" customHeight="1">
      <c r="A13" s="36"/>
      <c r="B13" s="221" t="str">
        <f t="shared" si="2"/>
        <v>#REF!</v>
      </c>
      <c r="C13" s="196">
        <v>3.0</v>
      </c>
      <c r="D13" s="222" t="str">
        <f t="shared" ref="D13:E13" si="15">#REF!</f>
        <v>#REF!</v>
      </c>
      <c r="E13" s="223" t="str">
        <f t="shared" si="15"/>
        <v>#REF!</v>
      </c>
      <c r="F13" s="196" t="str">
        <f t="shared" si="4"/>
        <v>#REF!</v>
      </c>
      <c r="G13" s="224" t="str">
        <f>IF($B$1="CZ03",VLOOKUP($A$1&amp;CECCZ&amp;$G$2&amp;CompressorOnly&amp;$C13,CZ03CycleOnOff,7,0),IF($B$1="CZ04",VLOOKUP($A$1&amp;CECCZ&amp;$G$2&amp;CompressorOnly&amp;$C13,CZ04CycleOnOff,7,0),IF(CECCZ="CZ12",VLOOKUP($A$1&amp;CECCZ&amp;$G$2&amp;CompressorOnly&amp;$C13,CZ12CycleOnOff,7,0),IF(CECCZ="CZ13",VLOOKUP($A$1&amp;CECCZ&amp;$G$2&amp;CompressorOnly&amp;$C13,CZ13CycleOnOff,7,0)))))</f>
        <v>#NAME?</v>
      </c>
      <c r="H13" s="224" t="str">
        <f>IF(CECCZ="CZ03",VLOOKUP($A$1&amp;CECCZ&amp;$G$2&amp;CompressorOnly&amp;$C13,CZ03CycleOnOff,8,0),IF(CECCZ="CZ04",VLOOKUP($A$1&amp;CECCZ&amp;$G$2&amp;CompressorOnly&amp;$C13,CZ04CycleOnOff,8,0),IF(CECCZ="CZ12",VLOOKUP($A$1&amp;CECCZ&amp;$G$2&amp;CompressorOnly&amp;$C13,CZ12CycleOnOff,8,0),IF(CECCZ="CZ13",VLOOKUP($A$1&amp;CECCZ&amp;$G$2&amp;CompressorOnly&amp;$C13,CZ13CycleOnOff,8,0)))))</f>
        <v>#NAME?</v>
      </c>
      <c r="I13" s="224" t="str">
        <f t="shared" si="5"/>
        <v>#REF!</v>
      </c>
      <c r="J13" s="225" t="str">
        <f t="shared" si="6"/>
        <v>#REF!</v>
      </c>
    </row>
    <row r="14" ht="15.75" customHeight="1">
      <c r="A14" s="36"/>
      <c r="B14" s="221" t="str">
        <f t="shared" si="2"/>
        <v>#REF!</v>
      </c>
      <c r="C14" s="196">
        <v>3.0</v>
      </c>
      <c r="D14" s="222" t="str">
        <f t="shared" ref="D14:E14" si="16">#REF!</f>
        <v>#REF!</v>
      </c>
      <c r="E14" s="223" t="str">
        <f t="shared" si="16"/>
        <v>#REF!</v>
      </c>
      <c r="F14" s="196" t="str">
        <f t="shared" si="4"/>
        <v>#REF!</v>
      </c>
      <c r="G14" s="224" t="str">
        <f>IF($B$1="CZ03",VLOOKUP($A$1&amp;CECCZ&amp;$G$2&amp;CompressorOnly&amp;$C14,CZ03CycleOnOff,7,0),IF($B$1="CZ04",VLOOKUP($A$1&amp;CECCZ&amp;$G$2&amp;CompressorOnly&amp;$C14,CZ04CycleOnOff,7,0),IF(CECCZ="CZ12",VLOOKUP($A$1&amp;CECCZ&amp;$G$2&amp;CompressorOnly&amp;$C14,CZ12CycleOnOff,7,0),IF(CECCZ="CZ13",VLOOKUP($A$1&amp;CECCZ&amp;$G$2&amp;CompressorOnly&amp;$C14,CZ13CycleOnOff,7,0)))))</f>
        <v>#NAME?</v>
      </c>
      <c r="H14" s="224" t="str">
        <f>IF(CECCZ="CZ03",VLOOKUP($A$1&amp;CECCZ&amp;$G$2&amp;CompressorOnly&amp;$C14,CZ03CycleOnOff,8,0),IF(CECCZ="CZ04",VLOOKUP($A$1&amp;CECCZ&amp;$G$2&amp;CompressorOnly&amp;$C14,CZ04CycleOnOff,8,0),IF(CECCZ="CZ12",VLOOKUP($A$1&amp;CECCZ&amp;$G$2&amp;CompressorOnly&amp;$C14,CZ12CycleOnOff,8,0),IF(CECCZ="CZ13",VLOOKUP($A$1&amp;CECCZ&amp;$G$2&amp;CompressorOnly&amp;$C14,CZ13CycleOnOff,8,0)))))</f>
        <v>#NAME?</v>
      </c>
      <c r="I14" s="224" t="str">
        <f t="shared" si="5"/>
        <v>#REF!</v>
      </c>
      <c r="J14" s="225" t="str">
        <f t="shared" si="6"/>
        <v>#REF!</v>
      </c>
    </row>
    <row r="15" ht="15.75" customHeight="1">
      <c r="A15" s="36"/>
      <c r="B15" s="221" t="str">
        <f t="shared" si="2"/>
        <v>#REF!</v>
      </c>
      <c r="C15" s="196">
        <v>4.0</v>
      </c>
      <c r="D15" s="222" t="str">
        <f t="shared" ref="D15:E15" si="17">#REF!</f>
        <v>#REF!</v>
      </c>
      <c r="E15" s="223" t="str">
        <f t="shared" si="17"/>
        <v>#REF!</v>
      </c>
      <c r="F15" s="196" t="str">
        <f t="shared" si="4"/>
        <v>#REF!</v>
      </c>
      <c r="G15" s="224" t="str">
        <f>IF($B$1="CZ03",VLOOKUP($A$1&amp;CECCZ&amp;$G$2&amp;CompressorOnly&amp;$C15,CZ03CycleOnOff,7,0),IF($B$1="CZ04",VLOOKUP($A$1&amp;CECCZ&amp;$G$2&amp;CompressorOnly&amp;$C15,CZ04CycleOnOff,7,0),IF(CECCZ="CZ12",VLOOKUP($A$1&amp;CECCZ&amp;$G$2&amp;CompressorOnly&amp;$C15,CZ12CycleOnOff,7,0),IF(CECCZ="CZ13",VLOOKUP($A$1&amp;CECCZ&amp;$G$2&amp;CompressorOnly&amp;$C15,CZ13CycleOnOff,7,0)))))</f>
        <v>#NAME?</v>
      </c>
      <c r="H15" s="224" t="str">
        <f>IF(CECCZ="CZ03",VLOOKUP($A$1&amp;CECCZ&amp;$G$2&amp;CompressorOnly&amp;$C15,CZ03CycleOnOff,8,0),IF(CECCZ="CZ04",VLOOKUP($A$1&amp;CECCZ&amp;$G$2&amp;CompressorOnly&amp;$C15,CZ04CycleOnOff,8,0),IF(CECCZ="CZ12",VLOOKUP($A$1&amp;CECCZ&amp;$G$2&amp;CompressorOnly&amp;$C15,CZ12CycleOnOff,8,0),IF(CECCZ="CZ13",VLOOKUP($A$1&amp;CECCZ&amp;$G$2&amp;CompressorOnly&amp;$C15,CZ13CycleOnOff,8,0)))))</f>
        <v>#NAME?</v>
      </c>
      <c r="I15" s="224" t="str">
        <f t="shared" si="5"/>
        <v>#REF!</v>
      </c>
      <c r="J15" s="225" t="str">
        <f t="shared" si="6"/>
        <v>#REF!</v>
      </c>
    </row>
    <row r="16" ht="15.75" customHeight="1">
      <c r="A16" s="36"/>
      <c r="B16" s="221" t="str">
        <f t="shared" si="2"/>
        <v>#REF!</v>
      </c>
      <c r="C16" s="196">
        <v>4.0</v>
      </c>
      <c r="D16" s="222" t="str">
        <f t="shared" ref="D16:E16" si="18">#REF!</f>
        <v>#REF!</v>
      </c>
      <c r="E16" s="223" t="str">
        <f t="shared" si="18"/>
        <v>#REF!</v>
      </c>
      <c r="F16" s="196" t="str">
        <f t="shared" si="4"/>
        <v>#REF!</v>
      </c>
      <c r="G16" s="224" t="str">
        <f>IF($B$1="CZ03",VLOOKUP($A$1&amp;CECCZ&amp;$G$2&amp;CompressorOnly&amp;$C16,CZ03CycleOnOff,7,0),IF($B$1="CZ04",VLOOKUP($A$1&amp;CECCZ&amp;$G$2&amp;CompressorOnly&amp;$C16,CZ04CycleOnOff,7,0),IF(CECCZ="CZ12",VLOOKUP($A$1&amp;CECCZ&amp;$G$2&amp;CompressorOnly&amp;$C16,CZ12CycleOnOff,7,0),IF(CECCZ="CZ13",VLOOKUP($A$1&amp;CECCZ&amp;$G$2&amp;CompressorOnly&amp;$C16,CZ13CycleOnOff,7,0)))))</f>
        <v>#NAME?</v>
      </c>
      <c r="H16" s="224" t="str">
        <f>IF(CECCZ="CZ03",VLOOKUP($A$1&amp;CECCZ&amp;$G$2&amp;CompressorOnly&amp;$C16,CZ03CycleOnOff,8,0),IF(CECCZ="CZ04",VLOOKUP($A$1&amp;CECCZ&amp;$G$2&amp;CompressorOnly&amp;$C16,CZ04CycleOnOff,8,0),IF(CECCZ="CZ12",VLOOKUP($A$1&amp;CECCZ&amp;$G$2&amp;CompressorOnly&amp;$C16,CZ12CycleOnOff,8,0),IF(CECCZ="CZ13",VLOOKUP($A$1&amp;CECCZ&amp;$G$2&amp;CompressorOnly&amp;$C16,CZ13CycleOnOff,8,0)))))</f>
        <v>#NAME?</v>
      </c>
      <c r="I16" s="224" t="str">
        <f t="shared" si="5"/>
        <v>#REF!</v>
      </c>
      <c r="J16" s="225" t="str">
        <f t="shared" si="6"/>
        <v>#REF!</v>
      </c>
    </row>
    <row r="17" ht="15.75" customHeight="1">
      <c r="A17" s="36"/>
      <c r="B17" s="221" t="str">
        <f t="shared" si="2"/>
        <v>#REF!</v>
      </c>
      <c r="C17" s="196">
        <v>4.0</v>
      </c>
      <c r="D17" s="222" t="str">
        <f t="shared" ref="D17:E17" si="19">#REF!</f>
        <v>#REF!</v>
      </c>
      <c r="E17" s="223" t="str">
        <f t="shared" si="19"/>
        <v>#REF!</v>
      </c>
      <c r="F17" s="196" t="str">
        <f t="shared" si="4"/>
        <v>#REF!</v>
      </c>
      <c r="G17" s="224" t="str">
        <f>IF($B$1="CZ03",VLOOKUP($A$1&amp;CECCZ&amp;$G$2&amp;CompressorOnly&amp;$C17,CZ03CycleOnOff,7,0),IF($B$1="CZ04",VLOOKUP($A$1&amp;CECCZ&amp;$G$2&amp;CompressorOnly&amp;$C17,CZ04CycleOnOff,7,0),IF(CECCZ="CZ12",VLOOKUP($A$1&amp;CECCZ&amp;$G$2&amp;CompressorOnly&amp;$C17,CZ12CycleOnOff,7,0),IF(CECCZ="CZ13",VLOOKUP($A$1&amp;CECCZ&amp;$G$2&amp;CompressorOnly&amp;$C17,CZ13CycleOnOff,7,0)))))</f>
        <v>#NAME?</v>
      </c>
      <c r="H17" s="224" t="str">
        <f>IF(CECCZ="CZ03",VLOOKUP($A$1&amp;CECCZ&amp;$G$2&amp;CompressorOnly&amp;$C17,CZ03CycleOnOff,8,0),IF(CECCZ="CZ04",VLOOKUP($A$1&amp;CECCZ&amp;$G$2&amp;CompressorOnly&amp;$C17,CZ04CycleOnOff,8,0),IF(CECCZ="CZ12",VLOOKUP($A$1&amp;CECCZ&amp;$G$2&amp;CompressorOnly&amp;$C17,CZ12CycleOnOff,8,0),IF(CECCZ="CZ13",VLOOKUP($A$1&amp;CECCZ&amp;$G$2&amp;CompressorOnly&amp;$C17,CZ13CycleOnOff,8,0)))))</f>
        <v>#NAME?</v>
      </c>
      <c r="I17" s="224" t="str">
        <f t="shared" si="5"/>
        <v>#REF!</v>
      </c>
      <c r="J17" s="225" t="str">
        <f t="shared" si="6"/>
        <v>#REF!</v>
      </c>
    </row>
    <row r="18" ht="15.75" customHeight="1">
      <c r="A18" s="36"/>
      <c r="B18" s="221" t="str">
        <f t="shared" si="2"/>
        <v>#REF!</v>
      </c>
      <c r="C18" s="196">
        <v>4.0</v>
      </c>
      <c r="D18" s="222" t="str">
        <f t="shared" ref="D18:E18" si="20">#REF!</f>
        <v>#REF!</v>
      </c>
      <c r="E18" s="223" t="str">
        <f t="shared" si="20"/>
        <v>#REF!</v>
      </c>
      <c r="F18" s="196" t="str">
        <f t="shared" si="4"/>
        <v>#REF!</v>
      </c>
      <c r="G18" s="224" t="str">
        <f>IF($B$1="CZ03",VLOOKUP($A$1&amp;CECCZ&amp;$G$2&amp;CompressorOnly&amp;$C18,CZ03CycleOnOff,7,0),IF($B$1="CZ04",VLOOKUP($A$1&amp;CECCZ&amp;$G$2&amp;CompressorOnly&amp;$C18,CZ04CycleOnOff,7,0),IF(CECCZ="CZ12",VLOOKUP($A$1&amp;CECCZ&amp;$G$2&amp;CompressorOnly&amp;$C18,CZ12CycleOnOff,7,0),IF(CECCZ="CZ13",VLOOKUP($A$1&amp;CECCZ&amp;$G$2&amp;CompressorOnly&amp;$C18,CZ13CycleOnOff,7,0)))))</f>
        <v>#NAME?</v>
      </c>
      <c r="H18" s="224" t="str">
        <f>IF(CECCZ="CZ03",VLOOKUP($A$1&amp;CECCZ&amp;$G$2&amp;CompressorOnly&amp;$C18,CZ03CycleOnOff,8,0),IF(CECCZ="CZ04",VLOOKUP($A$1&amp;CECCZ&amp;$G$2&amp;CompressorOnly&amp;$C18,CZ04CycleOnOff,8,0),IF(CECCZ="CZ12",VLOOKUP($A$1&amp;CECCZ&amp;$G$2&amp;CompressorOnly&amp;$C18,CZ12CycleOnOff,8,0),IF(CECCZ="CZ13",VLOOKUP($A$1&amp;CECCZ&amp;$G$2&amp;CompressorOnly&amp;$C18,CZ13CycleOnOff,8,0)))))</f>
        <v>#NAME?</v>
      </c>
      <c r="I18" s="224" t="str">
        <f t="shared" si="5"/>
        <v>#REF!</v>
      </c>
      <c r="J18" s="225" t="str">
        <f t="shared" si="6"/>
        <v>#REF!</v>
      </c>
    </row>
    <row r="19" ht="15.75" customHeight="1">
      <c r="A19" s="36"/>
      <c r="H19" s="181"/>
      <c r="J19" s="51"/>
    </row>
    <row r="20" ht="15.75" customHeight="1">
      <c r="A20" s="36"/>
      <c r="B20" s="218"/>
      <c r="C20" s="218"/>
      <c r="D20" s="226"/>
      <c r="E20" s="218"/>
      <c r="F20" s="218"/>
      <c r="G20" s="203" t="s">
        <v>205</v>
      </c>
      <c r="H20" s="203" t="str">
        <f>CompressorOnly</f>
        <v>#NAME?</v>
      </c>
      <c r="I20" s="218"/>
      <c r="J20" s="220"/>
    </row>
    <row r="21" ht="15.75" customHeight="1">
      <c r="A21" s="36"/>
      <c r="B21" s="218" t="s">
        <v>230</v>
      </c>
      <c r="C21" s="218" t="s">
        <v>231</v>
      </c>
      <c r="D21" s="218" t="s">
        <v>232</v>
      </c>
      <c r="E21" s="218" t="s">
        <v>233</v>
      </c>
      <c r="F21" s="218" t="s">
        <v>234</v>
      </c>
      <c r="G21" s="218" t="s">
        <v>207</v>
      </c>
      <c r="H21" s="219" t="str">
        <f>DutyCycleMinutes</f>
        <v>#NAME?</v>
      </c>
      <c r="I21" s="218" t="s">
        <v>235</v>
      </c>
      <c r="J21" s="220" t="s">
        <v>236</v>
      </c>
    </row>
    <row r="22" ht="15.75" customHeight="1">
      <c r="A22" s="36"/>
      <c r="B22" s="221" t="str">
        <f t="shared" ref="B22:B37" si="22">#REF!</f>
        <v>#REF!</v>
      </c>
      <c r="C22" s="196">
        <v>1.0</v>
      </c>
      <c r="D22" s="222" t="str">
        <f t="shared" ref="D22:E22" si="21">#REF!</f>
        <v>#REF!</v>
      </c>
      <c r="E22" s="223" t="str">
        <f t="shared" si="21"/>
        <v>#REF!</v>
      </c>
      <c r="F22" s="196" t="str">
        <f t="shared" ref="F22:F37" si="24">IF(E22&lt;75,1,IF(AND(E22&gt;=75, E22&lt;95),2,IF(E22&gt;=95,3)))</f>
        <v>#REF!</v>
      </c>
      <c r="G22" s="224" t="str">
        <f>IF($B$1="CZ03",VLOOKUP($A$1&amp;CECCZ&amp;$G$2&amp;CompressorOnly&amp;$C22,CZ03CycleOnOff,7,0),IF($B$1="CZ04",VLOOKUP($A$1&amp;CECCZ&amp;$G$2&amp;CompressorOnly&amp;$C22,CZ04CycleOnOff,7,0),IF(CECCZ="CZ12",VLOOKUP($A$1&amp;CECCZ&amp;$G$2&amp;CompressorOnly&amp;$C22,CZ12CycleOnOff,7,0),IF(CECCZ="CZ13",VLOOKUP($A$1&amp;CECCZ&amp;$G$2&amp;CompressorOnly&amp;$C22,CZ13CycleOnOff,7,0)))))</f>
        <v>#NAME?</v>
      </c>
      <c r="H22" s="224" t="str">
        <f>IF(CECCZ="CZ03",VLOOKUP($A$1&amp;CECCZ&amp;$G$2&amp;CompressorOnly&amp;$C22,CZ03CycleOnOff,8,0),IF(CECCZ="CZ04",VLOOKUP($A$1&amp;CECCZ&amp;$G$2&amp;CompressorOnly&amp;$C22,CZ04CycleOnOff,8,0),IF(CECCZ="CZ12",VLOOKUP($A$1&amp;CECCZ&amp;$G$2&amp;CompressorOnly&amp;$C22,CZ12CycleOnOff,8,0),IF(CECCZ="CZ13",VLOOKUP($A$1&amp;CECCZ&amp;$G$2&amp;CompressorOnly&amp;$C22,CZ13CycleOnOff,8,0)))))</f>
        <v>#NAME?</v>
      </c>
      <c r="I22" s="224" t="str">
        <f t="shared" ref="I22:I37" si="25">(E22*G22+H22)/100*DutyCycleMinutes/60</f>
        <v>#REF!</v>
      </c>
      <c r="J22" s="225" t="str">
        <f t="shared" ref="J22:J37" si="26">I22*D22</f>
        <v>#REF!</v>
      </c>
    </row>
    <row r="23" ht="15.75" customHeight="1">
      <c r="A23" s="36"/>
      <c r="B23" s="221" t="str">
        <f t="shared" si="22"/>
        <v>#REF!</v>
      </c>
      <c r="C23" s="196">
        <v>1.0</v>
      </c>
      <c r="D23" s="222" t="str">
        <f t="shared" ref="D23:E23" si="23">#REF!</f>
        <v>#REF!</v>
      </c>
      <c r="E23" s="223" t="str">
        <f t="shared" si="23"/>
        <v>#REF!</v>
      </c>
      <c r="F23" s="196" t="str">
        <f t="shared" si="24"/>
        <v>#REF!</v>
      </c>
      <c r="G23" s="224" t="str">
        <f>IF($B$1="CZ03",VLOOKUP($A$1&amp;CECCZ&amp;$G$2&amp;CompressorOnly&amp;$C23,CZ03CycleOnOff,7,0),IF($B$1="CZ04",VLOOKUP($A$1&amp;CECCZ&amp;$G$2&amp;CompressorOnly&amp;$C23,CZ04CycleOnOff,7,0),IF(CECCZ="CZ12",VLOOKUP($A$1&amp;CECCZ&amp;$G$2&amp;CompressorOnly&amp;$C23,CZ12CycleOnOff,7,0),IF(CECCZ="CZ13",VLOOKUP($A$1&amp;CECCZ&amp;$G$2&amp;CompressorOnly&amp;$C23,CZ13CycleOnOff,7,0)))))</f>
        <v>#NAME?</v>
      </c>
      <c r="H23" s="224" t="str">
        <f>IF(CECCZ="CZ03",VLOOKUP($A$1&amp;CECCZ&amp;$G$2&amp;CompressorOnly&amp;$C23,CZ03CycleOnOff,8,0),IF(CECCZ="CZ04",VLOOKUP($A$1&amp;CECCZ&amp;$G$2&amp;CompressorOnly&amp;$C23,CZ04CycleOnOff,8,0),IF(CECCZ="CZ12",VLOOKUP($A$1&amp;CECCZ&amp;$G$2&amp;CompressorOnly&amp;$C23,CZ12CycleOnOff,8,0),IF(CECCZ="CZ13",VLOOKUP($A$1&amp;CECCZ&amp;$G$2&amp;CompressorOnly&amp;$C23,CZ13CycleOnOff,8,0)))))</f>
        <v>#NAME?</v>
      </c>
      <c r="I23" s="224" t="str">
        <f t="shared" si="25"/>
        <v>#REF!</v>
      </c>
      <c r="J23" s="225" t="str">
        <f t="shared" si="26"/>
        <v>#REF!</v>
      </c>
    </row>
    <row r="24" ht="15.75" customHeight="1">
      <c r="A24" s="36"/>
      <c r="B24" s="221" t="str">
        <f t="shared" si="22"/>
        <v>#REF!</v>
      </c>
      <c r="C24" s="196">
        <v>1.0</v>
      </c>
      <c r="D24" s="222" t="str">
        <f t="shared" ref="D24:E24" si="27">#REF!</f>
        <v>#REF!</v>
      </c>
      <c r="E24" s="223" t="str">
        <f t="shared" si="27"/>
        <v>#REF!</v>
      </c>
      <c r="F24" s="196" t="str">
        <f t="shared" si="24"/>
        <v>#REF!</v>
      </c>
      <c r="G24" s="224" t="str">
        <f>IF($B$1="CZ03",VLOOKUP($A$1&amp;CECCZ&amp;$G$2&amp;CompressorOnly&amp;$C24,CZ03CycleOnOff,7,0),IF($B$1="CZ04",VLOOKUP($A$1&amp;CECCZ&amp;$G$2&amp;CompressorOnly&amp;$C24,CZ04CycleOnOff,7,0),IF(CECCZ="CZ12",VLOOKUP($A$1&amp;CECCZ&amp;$G$2&amp;CompressorOnly&amp;$C24,CZ12CycleOnOff,7,0),IF(CECCZ="CZ13",VLOOKUP($A$1&amp;CECCZ&amp;$G$2&amp;CompressorOnly&amp;$C24,CZ13CycleOnOff,7,0)))))</f>
        <v>#NAME?</v>
      </c>
      <c r="H24" s="224" t="str">
        <f>IF(CECCZ="CZ03",VLOOKUP($A$1&amp;CECCZ&amp;$G$2&amp;CompressorOnly&amp;$C24,CZ03CycleOnOff,8,0),IF(CECCZ="CZ04",VLOOKUP($A$1&amp;CECCZ&amp;$G$2&amp;CompressorOnly&amp;$C24,CZ04CycleOnOff,8,0),IF(CECCZ="CZ12",VLOOKUP($A$1&amp;CECCZ&amp;$G$2&amp;CompressorOnly&amp;$C24,CZ12CycleOnOff,8,0),IF(CECCZ="CZ13",VLOOKUP($A$1&amp;CECCZ&amp;$G$2&amp;CompressorOnly&amp;$C24,CZ13CycleOnOff,8,0)))))</f>
        <v>#NAME?</v>
      </c>
      <c r="I24" s="224" t="str">
        <f t="shared" si="25"/>
        <v>#REF!</v>
      </c>
      <c r="J24" s="225" t="str">
        <f t="shared" si="26"/>
        <v>#REF!</v>
      </c>
    </row>
    <row r="25" ht="15.75" customHeight="1">
      <c r="A25" s="36"/>
      <c r="B25" s="221" t="str">
        <f t="shared" si="22"/>
        <v>#REF!</v>
      </c>
      <c r="C25" s="196">
        <v>1.0</v>
      </c>
      <c r="D25" s="222" t="str">
        <f t="shared" ref="D25:E25" si="28">#REF!</f>
        <v>#REF!</v>
      </c>
      <c r="E25" s="223" t="str">
        <f t="shared" si="28"/>
        <v>#REF!</v>
      </c>
      <c r="F25" s="196" t="str">
        <f t="shared" si="24"/>
        <v>#REF!</v>
      </c>
      <c r="G25" s="224" t="str">
        <f>IF($B$1="CZ03",VLOOKUP($A$1&amp;CECCZ&amp;$G$2&amp;CompressorOnly&amp;$C25,CZ03CycleOnOff,7,0),IF($B$1="CZ04",VLOOKUP($A$1&amp;CECCZ&amp;$G$2&amp;CompressorOnly&amp;$C25,CZ04CycleOnOff,7,0),IF(CECCZ="CZ12",VLOOKUP($A$1&amp;CECCZ&amp;$G$2&amp;CompressorOnly&amp;$C25,CZ12CycleOnOff,7,0),IF(CECCZ="CZ13",VLOOKUP($A$1&amp;CECCZ&amp;$G$2&amp;CompressorOnly&amp;$C25,CZ13CycleOnOff,7,0)))))</f>
        <v>#NAME?</v>
      </c>
      <c r="H25" s="224" t="str">
        <f>IF(CECCZ="CZ03",VLOOKUP($A$1&amp;CECCZ&amp;$G$2&amp;CompressorOnly&amp;$C25,CZ03CycleOnOff,8,0),IF(CECCZ="CZ04",VLOOKUP($A$1&amp;CECCZ&amp;$G$2&amp;CompressorOnly&amp;$C25,CZ04CycleOnOff,8,0),IF(CECCZ="CZ12",VLOOKUP($A$1&amp;CECCZ&amp;$G$2&amp;CompressorOnly&amp;$C25,CZ12CycleOnOff,8,0),IF(CECCZ="CZ13",VLOOKUP($A$1&amp;CECCZ&amp;$G$2&amp;CompressorOnly&amp;$C25,CZ13CycleOnOff,8,0)))))</f>
        <v>#NAME?</v>
      </c>
      <c r="I25" s="224" t="str">
        <f t="shared" si="25"/>
        <v>#REF!</v>
      </c>
      <c r="J25" s="225" t="str">
        <f t="shared" si="26"/>
        <v>#REF!</v>
      </c>
    </row>
    <row r="26" ht="15.75" customHeight="1">
      <c r="A26" s="36"/>
      <c r="B26" s="221" t="str">
        <f t="shared" si="22"/>
        <v>#REF!</v>
      </c>
      <c r="C26" s="196">
        <v>2.0</v>
      </c>
      <c r="D26" s="222" t="str">
        <f t="shared" ref="D26:E26" si="29">#REF!</f>
        <v>#REF!</v>
      </c>
      <c r="E26" s="223" t="str">
        <f t="shared" si="29"/>
        <v>#REF!</v>
      </c>
      <c r="F26" s="196" t="str">
        <f t="shared" si="24"/>
        <v>#REF!</v>
      </c>
      <c r="G26" s="224" t="str">
        <f>IF($B$1="CZ03",VLOOKUP($A$1&amp;CECCZ&amp;$G$2&amp;CompressorOnly&amp;$C26,CZ03CycleOnOff,7,0),IF($B$1="CZ04",VLOOKUP($A$1&amp;CECCZ&amp;$G$2&amp;CompressorOnly&amp;$C26,CZ04CycleOnOff,7,0),IF(CECCZ="CZ12",VLOOKUP($A$1&amp;CECCZ&amp;$G$2&amp;CompressorOnly&amp;$C26,CZ12CycleOnOff,7,0),IF(CECCZ="CZ13",VLOOKUP($A$1&amp;CECCZ&amp;$G$2&amp;CompressorOnly&amp;$C26,CZ13CycleOnOff,7,0)))))</f>
        <v>#NAME?</v>
      </c>
      <c r="H26" s="224" t="str">
        <f>IF(CECCZ="CZ03",VLOOKUP($A$1&amp;CECCZ&amp;$G$2&amp;CompressorOnly&amp;$C26,CZ03CycleOnOff,8,0),IF(CECCZ="CZ04",VLOOKUP($A$1&amp;CECCZ&amp;$G$2&amp;CompressorOnly&amp;$C26,CZ04CycleOnOff,8,0),IF(CECCZ="CZ12",VLOOKUP($A$1&amp;CECCZ&amp;$G$2&amp;CompressorOnly&amp;$C26,CZ12CycleOnOff,8,0),IF(CECCZ="CZ13",VLOOKUP($A$1&amp;CECCZ&amp;$G$2&amp;CompressorOnly&amp;$C26,CZ13CycleOnOff,8,0)))))</f>
        <v>#NAME?</v>
      </c>
      <c r="I26" s="224" t="str">
        <f t="shared" si="25"/>
        <v>#REF!</v>
      </c>
      <c r="J26" s="225" t="str">
        <f t="shared" si="26"/>
        <v>#REF!</v>
      </c>
    </row>
    <row r="27" ht="15.75" customHeight="1">
      <c r="A27" s="36"/>
      <c r="B27" s="221" t="str">
        <f t="shared" si="22"/>
        <v>#REF!</v>
      </c>
      <c r="C27" s="196">
        <v>2.0</v>
      </c>
      <c r="D27" s="222" t="str">
        <f t="shared" ref="D27:E27" si="30">#REF!</f>
        <v>#REF!</v>
      </c>
      <c r="E27" s="223" t="str">
        <f t="shared" si="30"/>
        <v>#REF!</v>
      </c>
      <c r="F27" s="196" t="str">
        <f t="shared" si="24"/>
        <v>#REF!</v>
      </c>
      <c r="G27" s="224" t="str">
        <f>IF($B$1="CZ03",VLOOKUP($A$1&amp;CECCZ&amp;$G$2&amp;CompressorOnly&amp;$C27,CZ03CycleOnOff,7,0),IF($B$1="CZ04",VLOOKUP($A$1&amp;CECCZ&amp;$G$2&amp;CompressorOnly&amp;$C27,CZ04CycleOnOff,7,0),IF(CECCZ="CZ12",VLOOKUP($A$1&amp;CECCZ&amp;$G$2&amp;CompressorOnly&amp;$C27,CZ12CycleOnOff,7,0),IF(CECCZ="CZ13",VLOOKUP($A$1&amp;CECCZ&amp;$G$2&amp;CompressorOnly&amp;$C27,CZ13CycleOnOff,7,0)))))</f>
        <v>#NAME?</v>
      </c>
      <c r="H27" s="224" t="str">
        <f>IF(CECCZ="CZ03",VLOOKUP($A$1&amp;CECCZ&amp;$G$2&amp;CompressorOnly&amp;$C27,CZ03CycleOnOff,8,0),IF(CECCZ="CZ04",VLOOKUP($A$1&amp;CECCZ&amp;$G$2&amp;CompressorOnly&amp;$C27,CZ04CycleOnOff,8,0),IF(CECCZ="CZ12",VLOOKUP($A$1&amp;CECCZ&amp;$G$2&amp;CompressorOnly&amp;$C27,CZ12CycleOnOff,8,0),IF(CECCZ="CZ13",VLOOKUP($A$1&amp;CECCZ&amp;$G$2&amp;CompressorOnly&amp;$C27,CZ13CycleOnOff,8,0)))))</f>
        <v>#NAME?</v>
      </c>
      <c r="I27" s="224" t="str">
        <f t="shared" si="25"/>
        <v>#REF!</v>
      </c>
      <c r="J27" s="225" t="str">
        <f t="shared" si="26"/>
        <v>#REF!</v>
      </c>
    </row>
    <row r="28" ht="15.75" customHeight="1">
      <c r="A28" s="36"/>
      <c r="B28" s="221" t="str">
        <f t="shared" si="22"/>
        <v>#REF!</v>
      </c>
      <c r="C28" s="196">
        <v>2.0</v>
      </c>
      <c r="D28" s="222" t="str">
        <f t="shared" ref="D28:E28" si="31">#REF!</f>
        <v>#REF!</v>
      </c>
      <c r="E28" s="223" t="str">
        <f t="shared" si="31"/>
        <v>#REF!</v>
      </c>
      <c r="F28" s="196" t="str">
        <f t="shared" si="24"/>
        <v>#REF!</v>
      </c>
      <c r="G28" s="224" t="str">
        <f>IF($B$1="CZ03",VLOOKUP($A$1&amp;CECCZ&amp;$G$2&amp;CompressorOnly&amp;$C28,CZ03CycleOnOff,7,0),IF($B$1="CZ04",VLOOKUP($A$1&amp;CECCZ&amp;$G$2&amp;CompressorOnly&amp;$C28,CZ04CycleOnOff,7,0),IF(CECCZ="CZ12",VLOOKUP($A$1&amp;CECCZ&amp;$G$2&amp;CompressorOnly&amp;$C28,CZ12CycleOnOff,7,0),IF(CECCZ="CZ13",VLOOKUP($A$1&amp;CECCZ&amp;$G$2&amp;CompressorOnly&amp;$C28,CZ13CycleOnOff,7,0)))))</f>
        <v>#NAME?</v>
      </c>
      <c r="H28" s="224" t="str">
        <f>IF(CECCZ="CZ03",VLOOKUP($A$1&amp;CECCZ&amp;$G$2&amp;CompressorOnly&amp;$C28,CZ03CycleOnOff,8,0),IF(CECCZ="CZ04",VLOOKUP($A$1&amp;CECCZ&amp;$G$2&amp;CompressorOnly&amp;$C28,CZ04CycleOnOff,8,0),IF(CECCZ="CZ12",VLOOKUP($A$1&amp;CECCZ&amp;$G$2&amp;CompressorOnly&amp;$C28,CZ12CycleOnOff,8,0),IF(CECCZ="CZ13",VLOOKUP($A$1&amp;CECCZ&amp;$G$2&amp;CompressorOnly&amp;$C28,CZ13CycleOnOff,8,0)))))</f>
        <v>#NAME?</v>
      </c>
      <c r="I28" s="224" t="str">
        <f t="shared" si="25"/>
        <v>#REF!</v>
      </c>
      <c r="J28" s="225" t="str">
        <f t="shared" si="26"/>
        <v>#REF!</v>
      </c>
    </row>
    <row r="29" ht="15.75" customHeight="1">
      <c r="A29" s="36"/>
      <c r="B29" s="221" t="str">
        <f t="shared" si="22"/>
        <v>#REF!</v>
      </c>
      <c r="C29" s="196">
        <v>2.0</v>
      </c>
      <c r="D29" s="222" t="str">
        <f t="shared" ref="D29:E29" si="32">#REF!</f>
        <v>#REF!</v>
      </c>
      <c r="E29" s="223" t="str">
        <f t="shared" si="32"/>
        <v>#REF!</v>
      </c>
      <c r="F29" s="196" t="str">
        <f t="shared" si="24"/>
        <v>#REF!</v>
      </c>
      <c r="G29" s="224" t="str">
        <f>IF($B$1="CZ03",VLOOKUP($A$1&amp;CECCZ&amp;$G$2&amp;CompressorOnly&amp;$C29,CZ03CycleOnOff,7,0),IF($B$1="CZ04",VLOOKUP($A$1&amp;CECCZ&amp;$G$2&amp;CompressorOnly&amp;$C29,CZ04CycleOnOff,7,0),IF(CECCZ="CZ12",VLOOKUP($A$1&amp;CECCZ&amp;$G$2&amp;CompressorOnly&amp;$C29,CZ12CycleOnOff,7,0),IF(CECCZ="CZ13",VLOOKUP($A$1&amp;CECCZ&amp;$G$2&amp;CompressorOnly&amp;$C29,CZ13CycleOnOff,7,0)))))</f>
        <v>#NAME?</v>
      </c>
      <c r="H29" s="224" t="str">
        <f>IF(CECCZ="CZ03",VLOOKUP($A$1&amp;CECCZ&amp;$G$2&amp;CompressorOnly&amp;$C29,CZ03CycleOnOff,8,0),IF(CECCZ="CZ04",VLOOKUP($A$1&amp;CECCZ&amp;$G$2&amp;CompressorOnly&amp;$C29,CZ04CycleOnOff,8,0),IF(CECCZ="CZ12",VLOOKUP($A$1&amp;CECCZ&amp;$G$2&amp;CompressorOnly&amp;$C29,CZ12CycleOnOff,8,0),IF(CECCZ="CZ13",VLOOKUP($A$1&amp;CECCZ&amp;$G$2&amp;CompressorOnly&amp;$C29,CZ13CycleOnOff,8,0)))))</f>
        <v>#NAME?</v>
      </c>
      <c r="I29" s="224" t="str">
        <f t="shared" si="25"/>
        <v>#REF!</v>
      </c>
      <c r="J29" s="225" t="str">
        <f t="shared" si="26"/>
        <v>#REF!</v>
      </c>
    </row>
    <row r="30" ht="15.75" customHeight="1">
      <c r="A30" s="36"/>
      <c r="B30" s="221" t="str">
        <f t="shared" si="22"/>
        <v>#REF!</v>
      </c>
      <c r="C30" s="196">
        <v>3.0</v>
      </c>
      <c r="D30" s="222" t="str">
        <f t="shared" ref="D30:E30" si="33">#REF!</f>
        <v>#REF!</v>
      </c>
      <c r="E30" s="223" t="str">
        <f t="shared" si="33"/>
        <v>#REF!</v>
      </c>
      <c r="F30" s="196" t="str">
        <f t="shared" si="24"/>
        <v>#REF!</v>
      </c>
      <c r="G30" s="224" t="str">
        <f>IF($B$1="CZ03",VLOOKUP($A$1&amp;CECCZ&amp;$G$2&amp;CompressorOnly&amp;$C30,CZ03CycleOnOff,7,0),IF($B$1="CZ04",VLOOKUP($A$1&amp;CECCZ&amp;$G$2&amp;CompressorOnly&amp;$C30,CZ04CycleOnOff,7,0),IF(CECCZ="CZ12",VLOOKUP($A$1&amp;CECCZ&amp;$G$2&amp;CompressorOnly&amp;$C30,CZ12CycleOnOff,7,0),IF(CECCZ="CZ13",VLOOKUP($A$1&amp;CECCZ&amp;$G$2&amp;CompressorOnly&amp;$C30,CZ13CycleOnOff,7,0)))))</f>
        <v>#NAME?</v>
      </c>
      <c r="H30" s="224" t="str">
        <f>IF(CECCZ="CZ03",VLOOKUP($A$1&amp;CECCZ&amp;$G$2&amp;CompressorOnly&amp;$C30,CZ03CycleOnOff,8,0),IF(CECCZ="CZ04",VLOOKUP($A$1&amp;CECCZ&amp;$G$2&amp;CompressorOnly&amp;$C30,CZ04CycleOnOff,8,0),IF(CECCZ="CZ12",VLOOKUP($A$1&amp;CECCZ&amp;$G$2&amp;CompressorOnly&amp;$C30,CZ12CycleOnOff,8,0),IF(CECCZ="CZ13",VLOOKUP($A$1&amp;CECCZ&amp;$G$2&amp;CompressorOnly&amp;$C30,CZ13CycleOnOff,8,0)))))</f>
        <v>#NAME?</v>
      </c>
      <c r="I30" s="224" t="str">
        <f t="shared" si="25"/>
        <v>#REF!</v>
      </c>
      <c r="J30" s="225" t="str">
        <f t="shared" si="26"/>
        <v>#REF!</v>
      </c>
    </row>
    <row r="31" ht="15.75" customHeight="1">
      <c r="A31" s="36"/>
      <c r="B31" s="221" t="str">
        <f t="shared" si="22"/>
        <v>#REF!</v>
      </c>
      <c r="C31" s="196">
        <v>3.0</v>
      </c>
      <c r="D31" s="222" t="str">
        <f t="shared" ref="D31:E31" si="34">#REF!</f>
        <v>#REF!</v>
      </c>
      <c r="E31" s="223" t="str">
        <f t="shared" si="34"/>
        <v>#REF!</v>
      </c>
      <c r="F31" s="196" t="str">
        <f t="shared" si="24"/>
        <v>#REF!</v>
      </c>
      <c r="G31" s="224" t="str">
        <f>IF($B$1="CZ03",VLOOKUP($A$1&amp;CECCZ&amp;$G$2&amp;CompressorOnly&amp;$C31,CZ03CycleOnOff,7,0),IF($B$1="CZ04",VLOOKUP($A$1&amp;CECCZ&amp;$G$2&amp;CompressorOnly&amp;$C31,CZ04CycleOnOff,7,0),IF(CECCZ="CZ12",VLOOKUP($A$1&amp;CECCZ&amp;$G$2&amp;CompressorOnly&amp;$C31,CZ12CycleOnOff,7,0),IF(CECCZ="CZ13",VLOOKUP($A$1&amp;CECCZ&amp;$G$2&amp;CompressorOnly&amp;$C31,CZ13CycleOnOff,7,0)))))</f>
        <v>#NAME?</v>
      </c>
      <c r="H31" s="224" t="str">
        <f>IF(CECCZ="CZ03",VLOOKUP($A$1&amp;CECCZ&amp;$G$2&amp;CompressorOnly&amp;$C31,CZ03CycleOnOff,8,0),IF(CECCZ="CZ04",VLOOKUP($A$1&amp;CECCZ&amp;$G$2&amp;CompressorOnly&amp;$C31,CZ04CycleOnOff,8,0),IF(CECCZ="CZ12",VLOOKUP($A$1&amp;CECCZ&amp;$G$2&amp;CompressorOnly&amp;$C31,CZ12CycleOnOff,8,0),IF(CECCZ="CZ13",VLOOKUP($A$1&amp;CECCZ&amp;$G$2&amp;CompressorOnly&amp;$C31,CZ13CycleOnOff,8,0)))))</f>
        <v>#NAME?</v>
      </c>
      <c r="I31" s="224" t="str">
        <f t="shared" si="25"/>
        <v>#REF!</v>
      </c>
      <c r="J31" s="225" t="str">
        <f t="shared" si="26"/>
        <v>#REF!</v>
      </c>
    </row>
    <row r="32" ht="15.75" customHeight="1">
      <c r="A32" s="36"/>
      <c r="B32" s="221" t="str">
        <f t="shared" si="22"/>
        <v>#REF!</v>
      </c>
      <c r="C32" s="196">
        <v>3.0</v>
      </c>
      <c r="D32" s="222" t="str">
        <f t="shared" ref="D32:E32" si="35">#REF!</f>
        <v>#REF!</v>
      </c>
      <c r="E32" s="223" t="str">
        <f t="shared" si="35"/>
        <v>#REF!</v>
      </c>
      <c r="F32" s="196" t="str">
        <f t="shared" si="24"/>
        <v>#REF!</v>
      </c>
      <c r="G32" s="224" t="str">
        <f>IF($B$1="CZ03",VLOOKUP($A$1&amp;CECCZ&amp;$G$2&amp;CompressorOnly&amp;$C32,CZ03CycleOnOff,7,0),IF($B$1="CZ04",VLOOKUP($A$1&amp;CECCZ&amp;$G$2&amp;CompressorOnly&amp;$C32,CZ04CycleOnOff,7,0),IF(CECCZ="CZ12",VLOOKUP($A$1&amp;CECCZ&amp;$G$2&amp;CompressorOnly&amp;$C32,CZ12CycleOnOff,7,0),IF(CECCZ="CZ13",VLOOKUP($A$1&amp;CECCZ&amp;$G$2&amp;CompressorOnly&amp;$C32,CZ13CycleOnOff,7,0)))))</f>
        <v>#NAME?</v>
      </c>
      <c r="H32" s="224" t="str">
        <f>IF(CECCZ="CZ03",VLOOKUP($A$1&amp;CECCZ&amp;$G$2&amp;CompressorOnly&amp;$C32,CZ03CycleOnOff,8,0),IF(CECCZ="CZ04",VLOOKUP($A$1&amp;CECCZ&amp;$G$2&amp;CompressorOnly&amp;$C32,CZ04CycleOnOff,8,0),IF(CECCZ="CZ12",VLOOKUP($A$1&amp;CECCZ&amp;$G$2&amp;CompressorOnly&amp;$C32,CZ12CycleOnOff,8,0),IF(CECCZ="CZ13",VLOOKUP($A$1&amp;CECCZ&amp;$G$2&amp;CompressorOnly&amp;$C32,CZ13CycleOnOff,8,0)))))</f>
        <v>#NAME?</v>
      </c>
      <c r="I32" s="224" t="str">
        <f t="shared" si="25"/>
        <v>#REF!</v>
      </c>
      <c r="J32" s="225" t="str">
        <f t="shared" si="26"/>
        <v>#REF!</v>
      </c>
    </row>
    <row r="33" ht="15.75" customHeight="1">
      <c r="A33" s="36"/>
      <c r="B33" s="221" t="str">
        <f t="shared" si="22"/>
        <v>#REF!</v>
      </c>
      <c r="C33" s="196">
        <v>3.0</v>
      </c>
      <c r="D33" s="222" t="str">
        <f t="shared" ref="D33:E33" si="36">#REF!</f>
        <v>#REF!</v>
      </c>
      <c r="E33" s="223" t="str">
        <f t="shared" si="36"/>
        <v>#REF!</v>
      </c>
      <c r="F33" s="196" t="str">
        <f t="shared" si="24"/>
        <v>#REF!</v>
      </c>
      <c r="G33" s="224" t="str">
        <f>IF($B$1="CZ03",VLOOKUP($A$1&amp;CECCZ&amp;$G$2&amp;CompressorOnly&amp;$C33,CZ03CycleOnOff,7,0),IF($B$1="CZ04",VLOOKUP($A$1&amp;CECCZ&amp;$G$2&amp;CompressorOnly&amp;$C33,CZ04CycleOnOff,7,0),IF(CECCZ="CZ12",VLOOKUP($A$1&amp;CECCZ&amp;$G$2&amp;CompressorOnly&amp;$C33,CZ12CycleOnOff,7,0),IF(CECCZ="CZ13",VLOOKUP($A$1&amp;CECCZ&amp;$G$2&amp;CompressorOnly&amp;$C33,CZ13CycleOnOff,7,0)))))</f>
        <v>#NAME?</v>
      </c>
      <c r="H33" s="224" t="str">
        <f>IF(CECCZ="CZ03",VLOOKUP($A$1&amp;CECCZ&amp;$G$2&amp;CompressorOnly&amp;$C33,CZ03CycleOnOff,8,0),IF(CECCZ="CZ04",VLOOKUP($A$1&amp;CECCZ&amp;$G$2&amp;CompressorOnly&amp;$C33,CZ04CycleOnOff,8,0),IF(CECCZ="CZ12",VLOOKUP($A$1&amp;CECCZ&amp;$G$2&amp;CompressorOnly&amp;$C33,CZ12CycleOnOff,8,0),IF(CECCZ="CZ13",VLOOKUP($A$1&amp;CECCZ&amp;$G$2&amp;CompressorOnly&amp;$C33,CZ13CycleOnOff,8,0)))))</f>
        <v>#NAME?</v>
      </c>
      <c r="I33" s="224" t="str">
        <f t="shared" si="25"/>
        <v>#REF!</v>
      </c>
      <c r="J33" s="225" t="str">
        <f t="shared" si="26"/>
        <v>#REF!</v>
      </c>
    </row>
    <row r="34" ht="15.75" customHeight="1">
      <c r="A34" s="36"/>
      <c r="B34" s="221" t="str">
        <f t="shared" si="22"/>
        <v>#REF!</v>
      </c>
      <c r="C34" s="196">
        <v>4.0</v>
      </c>
      <c r="D34" s="222" t="str">
        <f t="shared" ref="D34:E34" si="37">#REF!</f>
        <v>#REF!</v>
      </c>
      <c r="E34" s="223" t="str">
        <f t="shared" si="37"/>
        <v>#REF!</v>
      </c>
      <c r="F34" s="196" t="str">
        <f t="shared" si="24"/>
        <v>#REF!</v>
      </c>
      <c r="G34" s="224" t="str">
        <f>IF($B$1="CZ03",VLOOKUP($A$1&amp;CECCZ&amp;$G$2&amp;CompressorOnly&amp;$C34,CZ03CycleOnOff,7,0),IF($B$1="CZ04",VLOOKUP($A$1&amp;CECCZ&amp;$G$2&amp;CompressorOnly&amp;$C34,CZ04CycleOnOff,7,0),IF(CECCZ="CZ12",VLOOKUP($A$1&amp;CECCZ&amp;$G$2&amp;CompressorOnly&amp;$C34,CZ12CycleOnOff,7,0),IF(CECCZ="CZ13",VLOOKUP($A$1&amp;CECCZ&amp;$G$2&amp;CompressorOnly&amp;$C34,CZ13CycleOnOff,7,0)))))</f>
        <v>#NAME?</v>
      </c>
      <c r="H34" s="224" t="str">
        <f>IF(CECCZ="CZ03",VLOOKUP($A$1&amp;CECCZ&amp;$G$2&amp;CompressorOnly&amp;$C34,CZ03CycleOnOff,8,0),IF(CECCZ="CZ04",VLOOKUP($A$1&amp;CECCZ&amp;$G$2&amp;CompressorOnly&amp;$C34,CZ04CycleOnOff,8,0),IF(CECCZ="CZ12",VLOOKUP($A$1&amp;CECCZ&amp;$G$2&amp;CompressorOnly&amp;$C34,CZ12CycleOnOff,8,0),IF(CECCZ="CZ13",VLOOKUP($A$1&amp;CECCZ&amp;$G$2&amp;CompressorOnly&amp;$C34,CZ13CycleOnOff,8,0)))))</f>
        <v>#NAME?</v>
      </c>
      <c r="I34" s="224" t="str">
        <f t="shared" si="25"/>
        <v>#REF!</v>
      </c>
      <c r="J34" s="225" t="str">
        <f t="shared" si="26"/>
        <v>#REF!</v>
      </c>
    </row>
    <row r="35" ht="15.75" customHeight="1">
      <c r="A35" s="36"/>
      <c r="B35" s="221" t="str">
        <f t="shared" si="22"/>
        <v>#REF!</v>
      </c>
      <c r="C35" s="196">
        <v>4.0</v>
      </c>
      <c r="D35" s="222" t="str">
        <f t="shared" ref="D35:E35" si="38">#REF!</f>
        <v>#REF!</v>
      </c>
      <c r="E35" s="223" t="str">
        <f t="shared" si="38"/>
        <v>#REF!</v>
      </c>
      <c r="F35" s="196" t="str">
        <f t="shared" si="24"/>
        <v>#REF!</v>
      </c>
      <c r="G35" s="224" t="str">
        <f>IF($B$1="CZ03",VLOOKUP($A$1&amp;CECCZ&amp;$G$2&amp;CompressorOnly&amp;$C35,CZ03CycleOnOff,7,0),IF($B$1="CZ04",VLOOKUP($A$1&amp;CECCZ&amp;$G$2&amp;CompressorOnly&amp;$C35,CZ04CycleOnOff,7,0),IF(CECCZ="CZ12",VLOOKUP($A$1&amp;CECCZ&amp;$G$2&amp;CompressorOnly&amp;$C35,CZ12CycleOnOff,7,0),IF(CECCZ="CZ13",VLOOKUP($A$1&amp;CECCZ&amp;$G$2&amp;CompressorOnly&amp;$C35,CZ13CycleOnOff,7,0)))))</f>
        <v>#NAME?</v>
      </c>
      <c r="H35" s="224" t="str">
        <f>IF(CECCZ="CZ03",VLOOKUP($A$1&amp;CECCZ&amp;$G$2&amp;CompressorOnly&amp;$C35,CZ03CycleOnOff,8,0),IF(CECCZ="CZ04",VLOOKUP($A$1&amp;CECCZ&amp;$G$2&amp;CompressorOnly&amp;$C35,CZ04CycleOnOff,8,0),IF(CECCZ="CZ12",VLOOKUP($A$1&amp;CECCZ&amp;$G$2&amp;CompressorOnly&amp;$C35,CZ12CycleOnOff,8,0),IF(CECCZ="CZ13",VLOOKUP($A$1&amp;CECCZ&amp;$G$2&amp;CompressorOnly&amp;$C35,CZ13CycleOnOff,8,0)))))</f>
        <v>#NAME?</v>
      </c>
      <c r="I35" s="224" t="str">
        <f t="shared" si="25"/>
        <v>#REF!</v>
      </c>
      <c r="J35" s="225" t="str">
        <f t="shared" si="26"/>
        <v>#REF!</v>
      </c>
    </row>
    <row r="36" ht="15.75" customHeight="1">
      <c r="A36" s="36"/>
      <c r="B36" s="221" t="str">
        <f t="shared" si="22"/>
        <v>#REF!</v>
      </c>
      <c r="C36" s="196">
        <v>4.0</v>
      </c>
      <c r="D36" s="222" t="str">
        <f t="shared" ref="D36:E36" si="39">#REF!</f>
        <v>#REF!</v>
      </c>
      <c r="E36" s="223" t="str">
        <f t="shared" si="39"/>
        <v>#REF!</v>
      </c>
      <c r="F36" s="196" t="str">
        <f t="shared" si="24"/>
        <v>#REF!</v>
      </c>
      <c r="G36" s="224" t="str">
        <f>IF($B$1="CZ03",VLOOKUP($A$1&amp;CECCZ&amp;$G$2&amp;CompressorOnly&amp;$C36,CZ03CycleOnOff,7,0),IF($B$1="CZ04",VLOOKUP($A$1&amp;CECCZ&amp;$G$2&amp;CompressorOnly&amp;$C36,CZ04CycleOnOff,7,0),IF(CECCZ="CZ12",VLOOKUP($A$1&amp;CECCZ&amp;$G$2&amp;CompressorOnly&amp;$C36,CZ12CycleOnOff,7,0),IF(CECCZ="CZ13",VLOOKUP($A$1&amp;CECCZ&amp;$G$2&amp;CompressorOnly&amp;$C36,CZ13CycleOnOff,7,0)))))</f>
        <v>#NAME?</v>
      </c>
      <c r="H36" s="224" t="str">
        <f>IF(CECCZ="CZ03",VLOOKUP($A$1&amp;CECCZ&amp;$G$2&amp;CompressorOnly&amp;$C36,CZ03CycleOnOff,8,0),IF(CECCZ="CZ04",VLOOKUP($A$1&amp;CECCZ&amp;$G$2&amp;CompressorOnly&amp;$C36,CZ04CycleOnOff,8,0),IF(CECCZ="CZ12",VLOOKUP($A$1&amp;CECCZ&amp;$G$2&amp;CompressorOnly&amp;$C36,CZ12CycleOnOff,8,0),IF(CECCZ="CZ13",VLOOKUP($A$1&amp;CECCZ&amp;$G$2&amp;CompressorOnly&amp;$C36,CZ13CycleOnOff,8,0)))))</f>
        <v>#NAME?</v>
      </c>
      <c r="I36" s="224" t="str">
        <f t="shared" si="25"/>
        <v>#REF!</v>
      </c>
      <c r="J36" s="225" t="str">
        <f t="shared" si="26"/>
        <v>#REF!</v>
      </c>
    </row>
    <row r="37" ht="15.75" customHeight="1">
      <c r="A37" s="36"/>
      <c r="B37" s="221" t="str">
        <f t="shared" si="22"/>
        <v>#REF!</v>
      </c>
      <c r="C37" s="196">
        <v>4.0</v>
      </c>
      <c r="D37" s="222" t="str">
        <f t="shared" ref="D37:E37" si="40">#REF!</f>
        <v>#REF!</v>
      </c>
      <c r="E37" s="223" t="str">
        <f t="shared" si="40"/>
        <v>#REF!</v>
      </c>
      <c r="F37" s="196" t="str">
        <f t="shared" si="24"/>
        <v>#REF!</v>
      </c>
      <c r="G37" s="224" t="str">
        <f>IF($B$1="CZ03",VLOOKUP($A$1&amp;CECCZ&amp;$G$2&amp;CompressorOnly&amp;$C37,CZ03CycleOnOff,7,0),IF($B$1="CZ04",VLOOKUP($A$1&amp;CECCZ&amp;$G$2&amp;CompressorOnly&amp;$C37,CZ04CycleOnOff,7,0),IF(CECCZ="CZ12",VLOOKUP($A$1&amp;CECCZ&amp;$G$2&amp;CompressorOnly&amp;$C37,CZ12CycleOnOff,7,0),IF(CECCZ="CZ13",VLOOKUP($A$1&amp;CECCZ&amp;$G$2&amp;CompressorOnly&amp;$C37,CZ13CycleOnOff,7,0)))))</f>
        <v>#NAME?</v>
      </c>
      <c r="H37" s="224" t="str">
        <f>IF(CECCZ="CZ03",VLOOKUP($A$1&amp;CECCZ&amp;$G$2&amp;CompressorOnly&amp;$C37,CZ03CycleOnOff,8,0),IF(CECCZ="CZ04",VLOOKUP($A$1&amp;CECCZ&amp;$G$2&amp;CompressorOnly&amp;$C37,CZ04CycleOnOff,8,0),IF(CECCZ="CZ12",VLOOKUP($A$1&amp;CECCZ&amp;$G$2&amp;CompressorOnly&amp;$C37,CZ12CycleOnOff,8,0),IF(CECCZ="CZ13",VLOOKUP($A$1&amp;CECCZ&amp;$G$2&amp;CompressorOnly&amp;$C37,CZ13CycleOnOff,8,0)))))</f>
        <v>#NAME?</v>
      </c>
      <c r="I37" s="224" t="str">
        <f t="shared" si="25"/>
        <v>#REF!</v>
      </c>
      <c r="J37" s="225" t="str">
        <f t="shared" si="26"/>
        <v>#REF!</v>
      </c>
    </row>
    <row r="38" ht="15.75" customHeight="1">
      <c r="A38" s="36"/>
      <c r="J38" s="51"/>
    </row>
    <row r="39" ht="15.75" customHeight="1">
      <c r="A39" s="36"/>
      <c r="B39" s="218"/>
      <c r="C39" s="218"/>
      <c r="D39" s="226"/>
      <c r="E39" s="218"/>
      <c r="F39" s="218"/>
      <c r="G39" s="203" t="s">
        <v>205</v>
      </c>
      <c r="H39" s="203" t="str">
        <f>CompressorOnly</f>
        <v>#NAME?</v>
      </c>
      <c r="I39" s="218"/>
      <c r="J39" s="220"/>
    </row>
    <row r="40" ht="15.75" customHeight="1">
      <c r="A40" s="36"/>
      <c r="B40" s="218" t="s">
        <v>230</v>
      </c>
      <c r="C40" s="218" t="s">
        <v>231</v>
      </c>
      <c r="D40" s="218" t="s">
        <v>232</v>
      </c>
      <c r="E40" s="218" t="s">
        <v>233</v>
      </c>
      <c r="F40" s="218" t="s">
        <v>234</v>
      </c>
      <c r="G40" s="218" t="s">
        <v>207</v>
      </c>
      <c r="H40" s="219" t="str">
        <f>DutyCycleMinutes</f>
        <v>#NAME?</v>
      </c>
      <c r="I40" s="218" t="s">
        <v>235</v>
      </c>
      <c r="J40" s="220" t="s">
        <v>236</v>
      </c>
    </row>
    <row r="41" ht="15.75" customHeight="1">
      <c r="A41" s="36"/>
      <c r="B41" s="221" t="str">
        <f t="shared" ref="B41:B56" si="42">#REF!</f>
        <v>#REF!</v>
      </c>
      <c r="C41" s="196">
        <v>1.0</v>
      </c>
      <c r="D41" s="222" t="str">
        <f t="shared" ref="D41:E41" si="41">#REF!</f>
        <v>#REF!</v>
      </c>
      <c r="E41" s="223" t="str">
        <f t="shared" si="41"/>
        <v>#REF!</v>
      </c>
      <c r="F41" s="196" t="str">
        <f t="shared" ref="F41:F56" si="44">IF(E41&lt;75,1,IF(AND(E41&gt;=75, E41&lt;95),2,IF(E41&gt;=95,3)))</f>
        <v>#REF!</v>
      </c>
      <c r="G41" s="224" t="str">
        <f>IF($B$1="CZ03",VLOOKUP($A$1&amp;CECCZ&amp;$G$2&amp;CompressorOnly&amp;$C41,CZ03CycleOnOff,7,0),IF($B$1="CZ04",VLOOKUP($A$1&amp;CECCZ&amp;$G$2&amp;CompressorOnly&amp;$C41,CZ04CycleOnOff,7,0),IF(CECCZ="CZ12",VLOOKUP($A$1&amp;CECCZ&amp;$G$2&amp;CompressorOnly&amp;$C41,CZ12CycleOnOff,7,0),IF(CECCZ="CZ13",VLOOKUP($A$1&amp;CECCZ&amp;$G$2&amp;CompressorOnly&amp;$C41,CZ13CycleOnOff,7,0)))))</f>
        <v>#NAME?</v>
      </c>
      <c r="H41" s="224" t="str">
        <f>IF(CECCZ="CZ03",VLOOKUP($A$1&amp;CECCZ&amp;$G$2&amp;CompressorOnly&amp;$C41,CZ03CycleOnOff,8,0),IF(CECCZ="CZ04",VLOOKUP($A$1&amp;CECCZ&amp;$G$2&amp;CompressorOnly&amp;$C41,CZ04CycleOnOff,8,0),IF(CECCZ="CZ12",VLOOKUP($A$1&amp;CECCZ&amp;$G$2&amp;CompressorOnly&amp;$C41,CZ12CycleOnOff,8,0),IF(CECCZ="CZ13",VLOOKUP($A$1&amp;CECCZ&amp;$G$2&amp;CompressorOnly&amp;$C41,CZ13CycleOnOff,8,0)))))</f>
        <v>#NAME?</v>
      </c>
      <c r="I41" s="224" t="str">
        <f t="shared" ref="I41:I56" si="45">(E41*G41+H41)/100*DutyCycleMinutes/60</f>
        <v>#REF!</v>
      </c>
      <c r="J41" s="225" t="str">
        <f t="shared" ref="J41:J56" si="46">I41*D41</f>
        <v>#REF!</v>
      </c>
    </row>
    <row r="42" ht="15.75" customHeight="1">
      <c r="A42" s="36"/>
      <c r="B42" s="221" t="str">
        <f t="shared" si="42"/>
        <v>#REF!</v>
      </c>
      <c r="C42" s="196">
        <v>1.0</v>
      </c>
      <c r="D42" s="222" t="str">
        <f t="shared" ref="D42:E42" si="43">#REF!</f>
        <v>#REF!</v>
      </c>
      <c r="E42" s="223" t="str">
        <f t="shared" si="43"/>
        <v>#REF!</v>
      </c>
      <c r="F42" s="196" t="str">
        <f t="shared" si="44"/>
        <v>#REF!</v>
      </c>
      <c r="G42" s="224" t="str">
        <f>IF($B$1="CZ03",VLOOKUP($A$1&amp;CECCZ&amp;$G$2&amp;CompressorOnly&amp;$C42,CZ03CycleOnOff,7,0),IF($B$1="CZ04",VLOOKUP($A$1&amp;CECCZ&amp;$G$2&amp;CompressorOnly&amp;$C42,CZ04CycleOnOff,7,0),IF(CECCZ="CZ12",VLOOKUP($A$1&amp;CECCZ&amp;$G$2&amp;CompressorOnly&amp;$C42,CZ12CycleOnOff,7,0),IF(CECCZ="CZ13",VLOOKUP($A$1&amp;CECCZ&amp;$G$2&amp;CompressorOnly&amp;$C42,CZ13CycleOnOff,7,0)))))</f>
        <v>#NAME?</v>
      </c>
      <c r="H42" s="224" t="str">
        <f>IF(CECCZ="CZ03",VLOOKUP($A$1&amp;CECCZ&amp;$G$2&amp;CompressorOnly&amp;$C42,CZ03CycleOnOff,8,0),IF(CECCZ="CZ04",VLOOKUP($A$1&amp;CECCZ&amp;$G$2&amp;CompressorOnly&amp;$C42,CZ04CycleOnOff,8,0),IF(CECCZ="CZ12",VLOOKUP($A$1&amp;CECCZ&amp;$G$2&amp;CompressorOnly&amp;$C42,CZ12CycleOnOff,8,0),IF(CECCZ="CZ13",VLOOKUP($A$1&amp;CECCZ&amp;$G$2&amp;CompressorOnly&amp;$C42,CZ13CycleOnOff,8,0)))))</f>
        <v>#NAME?</v>
      </c>
      <c r="I42" s="224" t="str">
        <f t="shared" si="45"/>
        <v>#REF!</v>
      </c>
      <c r="J42" s="225" t="str">
        <f t="shared" si="46"/>
        <v>#REF!</v>
      </c>
    </row>
    <row r="43" ht="15.75" customHeight="1">
      <c r="A43" s="36"/>
      <c r="B43" s="221" t="str">
        <f t="shared" si="42"/>
        <v>#REF!</v>
      </c>
      <c r="C43" s="196">
        <v>1.0</v>
      </c>
      <c r="D43" s="222" t="str">
        <f t="shared" ref="D43:E43" si="47">#REF!</f>
        <v>#REF!</v>
      </c>
      <c r="E43" s="223" t="str">
        <f t="shared" si="47"/>
        <v>#REF!</v>
      </c>
      <c r="F43" s="196" t="str">
        <f t="shared" si="44"/>
        <v>#REF!</v>
      </c>
      <c r="G43" s="224" t="str">
        <f>IF($B$1="CZ03",VLOOKUP($A$1&amp;CECCZ&amp;$G$2&amp;CompressorOnly&amp;$C43,CZ03CycleOnOff,7,0),IF($B$1="CZ04",VLOOKUP($A$1&amp;CECCZ&amp;$G$2&amp;CompressorOnly&amp;$C43,CZ04CycleOnOff,7,0),IF(CECCZ="CZ12",VLOOKUP($A$1&amp;CECCZ&amp;$G$2&amp;CompressorOnly&amp;$C43,CZ12CycleOnOff,7,0),IF(CECCZ="CZ13",VLOOKUP($A$1&amp;CECCZ&amp;$G$2&amp;CompressorOnly&amp;$C43,CZ13CycleOnOff,7,0)))))</f>
        <v>#NAME?</v>
      </c>
      <c r="H43" s="224" t="str">
        <f>IF(CECCZ="CZ03",VLOOKUP($A$1&amp;CECCZ&amp;$G$2&amp;CompressorOnly&amp;$C43,CZ03CycleOnOff,8,0),IF(CECCZ="CZ04",VLOOKUP($A$1&amp;CECCZ&amp;$G$2&amp;CompressorOnly&amp;$C43,CZ04CycleOnOff,8,0),IF(CECCZ="CZ12",VLOOKUP($A$1&amp;CECCZ&amp;$G$2&amp;CompressorOnly&amp;$C43,CZ12CycleOnOff,8,0),IF(CECCZ="CZ13",VLOOKUP($A$1&amp;CECCZ&amp;$G$2&amp;CompressorOnly&amp;$C43,CZ13CycleOnOff,8,0)))))</f>
        <v>#NAME?</v>
      </c>
      <c r="I43" s="224" t="str">
        <f t="shared" si="45"/>
        <v>#REF!</v>
      </c>
      <c r="J43" s="225" t="str">
        <f t="shared" si="46"/>
        <v>#REF!</v>
      </c>
    </row>
    <row r="44" ht="15.75" customHeight="1">
      <c r="A44" s="36"/>
      <c r="B44" s="221" t="str">
        <f t="shared" si="42"/>
        <v>#REF!</v>
      </c>
      <c r="C44" s="196">
        <v>1.0</v>
      </c>
      <c r="D44" s="222" t="str">
        <f t="shared" ref="D44:E44" si="48">#REF!</f>
        <v>#REF!</v>
      </c>
      <c r="E44" s="223" t="str">
        <f t="shared" si="48"/>
        <v>#REF!</v>
      </c>
      <c r="F44" s="196" t="str">
        <f t="shared" si="44"/>
        <v>#REF!</v>
      </c>
      <c r="G44" s="224" t="str">
        <f>IF($B$1="CZ03",VLOOKUP($A$1&amp;CECCZ&amp;$G$2&amp;CompressorOnly&amp;$C44,CZ03CycleOnOff,7,0),IF($B$1="CZ04",VLOOKUP($A$1&amp;CECCZ&amp;$G$2&amp;CompressorOnly&amp;$C44,CZ04CycleOnOff,7,0),IF(CECCZ="CZ12",VLOOKUP($A$1&amp;CECCZ&amp;$G$2&amp;CompressorOnly&amp;$C44,CZ12CycleOnOff,7,0),IF(CECCZ="CZ13",VLOOKUP($A$1&amp;CECCZ&amp;$G$2&amp;CompressorOnly&amp;$C44,CZ13CycleOnOff,7,0)))))</f>
        <v>#NAME?</v>
      </c>
      <c r="H44" s="224" t="str">
        <f>IF(CECCZ="CZ03",VLOOKUP($A$1&amp;CECCZ&amp;$G$2&amp;CompressorOnly&amp;$C44,CZ03CycleOnOff,8,0),IF(CECCZ="CZ04",VLOOKUP($A$1&amp;CECCZ&amp;$G$2&amp;CompressorOnly&amp;$C44,CZ04CycleOnOff,8,0),IF(CECCZ="CZ12",VLOOKUP($A$1&amp;CECCZ&amp;$G$2&amp;CompressorOnly&amp;$C44,CZ12CycleOnOff,8,0),IF(CECCZ="CZ13",VLOOKUP($A$1&amp;CECCZ&amp;$G$2&amp;CompressorOnly&amp;$C44,CZ13CycleOnOff,8,0)))))</f>
        <v>#NAME?</v>
      </c>
      <c r="I44" s="224" t="str">
        <f t="shared" si="45"/>
        <v>#REF!</v>
      </c>
      <c r="J44" s="225" t="str">
        <f t="shared" si="46"/>
        <v>#REF!</v>
      </c>
    </row>
    <row r="45" ht="15.75" customHeight="1">
      <c r="A45" s="36"/>
      <c r="B45" s="221" t="str">
        <f t="shared" si="42"/>
        <v>#REF!</v>
      </c>
      <c r="C45" s="196">
        <v>2.0</v>
      </c>
      <c r="D45" s="222" t="str">
        <f t="shared" ref="D45:E45" si="49">#REF!</f>
        <v>#REF!</v>
      </c>
      <c r="E45" s="223" t="str">
        <f t="shared" si="49"/>
        <v>#REF!</v>
      </c>
      <c r="F45" s="196" t="str">
        <f t="shared" si="44"/>
        <v>#REF!</v>
      </c>
      <c r="G45" s="224" t="str">
        <f>IF($B$1="CZ03",VLOOKUP($A$1&amp;CECCZ&amp;$G$2&amp;CompressorOnly&amp;$C45,CZ03CycleOnOff,7,0),IF($B$1="CZ04",VLOOKUP($A$1&amp;CECCZ&amp;$G$2&amp;CompressorOnly&amp;$C45,CZ04CycleOnOff,7,0),IF(CECCZ="CZ12",VLOOKUP($A$1&amp;CECCZ&amp;$G$2&amp;CompressorOnly&amp;$C45,CZ12CycleOnOff,7,0),IF(CECCZ="CZ13",VLOOKUP($A$1&amp;CECCZ&amp;$G$2&amp;CompressorOnly&amp;$C45,CZ13CycleOnOff,7,0)))))</f>
        <v>#NAME?</v>
      </c>
      <c r="H45" s="224" t="str">
        <f>IF(CECCZ="CZ03",VLOOKUP($A$1&amp;CECCZ&amp;$G$2&amp;CompressorOnly&amp;$C45,CZ03CycleOnOff,8,0),IF(CECCZ="CZ04",VLOOKUP($A$1&amp;CECCZ&amp;$G$2&amp;CompressorOnly&amp;$C45,CZ04CycleOnOff,8,0),IF(CECCZ="CZ12",VLOOKUP($A$1&amp;CECCZ&amp;$G$2&amp;CompressorOnly&amp;$C45,CZ12CycleOnOff,8,0),IF(CECCZ="CZ13",VLOOKUP($A$1&amp;CECCZ&amp;$G$2&amp;CompressorOnly&amp;$C45,CZ13CycleOnOff,8,0)))))</f>
        <v>#NAME?</v>
      </c>
      <c r="I45" s="224" t="str">
        <f t="shared" si="45"/>
        <v>#REF!</v>
      </c>
      <c r="J45" s="225" t="str">
        <f t="shared" si="46"/>
        <v>#REF!</v>
      </c>
    </row>
    <row r="46" ht="15.75" customHeight="1">
      <c r="A46" s="36"/>
      <c r="B46" s="221" t="str">
        <f t="shared" si="42"/>
        <v>#REF!</v>
      </c>
      <c r="C46" s="196">
        <v>2.0</v>
      </c>
      <c r="D46" s="222" t="str">
        <f t="shared" ref="D46:E46" si="50">#REF!</f>
        <v>#REF!</v>
      </c>
      <c r="E46" s="223" t="str">
        <f t="shared" si="50"/>
        <v>#REF!</v>
      </c>
      <c r="F46" s="196" t="str">
        <f t="shared" si="44"/>
        <v>#REF!</v>
      </c>
      <c r="G46" s="224" t="str">
        <f>IF($B$1="CZ03",VLOOKUP($A$1&amp;CECCZ&amp;$G$2&amp;CompressorOnly&amp;$C46,CZ03CycleOnOff,7,0),IF($B$1="CZ04",VLOOKUP($A$1&amp;CECCZ&amp;$G$2&amp;CompressorOnly&amp;$C46,CZ04CycleOnOff,7,0),IF(CECCZ="CZ12",VLOOKUP($A$1&amp;CECCZ&amp;$G$2&amp;CompressorOnly&amp;$C46,CZ12CycleOnOff,7,0),IF(CECCZ="CZ13",VLOOKUP($A$1&amp;CECCZ&amp;$G$2&amp;CompressorOnly&amp;$C46,CZ13CycleOnOff,7,0)))))</f>
        <v>#NAME?</v>
      </c>
      <c r="H46" s="224" t="str">
        <f>IF(CECCZ="CZ03",VLOOKUP($A$1&amp;CECCZ&amp;$G$2&amp;CompressorOnly&amp;$C46,CZ03CycleOnOff,8,0),IF(CECCZ="CZ04",VLOOKUP($A$1&amp;CECCZ&amp;$G$2&amp;CompressorOnly&amp;$C46,CZ04CycleOnOff,8,0),IF(CECCZ="CZ12",VLOOKUP($A$1&amp;CECCZ&amp;$G$2&amp;CompressorOnly&amp;$C46,CZ12CycleOnOff,8,0),IF(CECCZ="CZ13",VLOOKUP($A$1&amp;CECCZ&amp;$G$2&amp;CompressorOnly&amp;$C46,CZ13CycleOnOff,8,0)))))</f>
        <v>#NAME?</v>
      </c>
      <c r="I46" s="224" t="str">
        <f t="shared" si="45"/>
        <v>#REF!</v>
      </c>
      <c r="J46" s="225" t="str">
        <f t="shared" si="46"/>
        <v>#REF!</v>
      </c>
    </row>
    <row r="47" ht="15.75" customHeight="1">
      <c r="A47" s="36"/>
      <c r="B47" s="221" t="str">
        <f t="shared" si="42"/>
        <v>#REF!</v>
      </c>
      <c r="C47" s="196">
        <v>2.0</v>
      </c>
      <c r="D47" s="222" t="str">
        <f t="shared" ref="D47:E47" si="51">#REF!</f>
        <v>#REF!</v>
      </c>
      <c r="E47" s="223" t="str">
        <f t="shared" si="51"/>
        <v>#REF!</v>
      </c>
      <c r="F47" s="196" t="str">
        <f t="shared" si="44"/>
        <v>#REF!</v>
      </c>
      <c r="G47" s="224" t="str">
        <f>IF($B$1="CZ03",VLOOKUP($A$1&amp;CECCZ&amp;$G$2&amp;CompressorOnly&amp;$C47,CZ03CycleOnOff,7,0),IF($B$1="CZ04",VLOOKUP($A$1&amp;CECCZ&amp;$G$2&amp;CompressorOnly&amp;$C47,CZ04CycleOnOff,7,0),IF(CECCZ="CZ12",VLOOKUP($A$1&amp;CECCZ&amp;$G$2&amp;CompressorOnly&amp;$C47,CZ12CycleOnOff,7,0),IF(CECCZ="CZ13",VLOOKUP($A$1&amp;CECCZ&amp;$G$2&amp;CompressorOnly&amp;$C47,CZ13CycleOnOff,7,0)))))</f>
        <v>#NAME?</v>
      </c>
      <c r="H47" s="224" t="str">
        <f>IF(CECCZ="CZ03",VLOOKUP($A$1&amp;CECCZ&amp;$G$2&amp;CompressorOnly&amp;$C47,CZ03CycleOnOff,8,0),IF(CECCZ="CZ04",VLOOKUP($A$1&amp;CECCZ&amp;$G$2&amp;CompressorOnly&amp;$C47,CZ04CycleOnOff,8,0),IF(CECCZ="CZ12",VLOOKUP($A$1&amp;CECCZ&amp;$G$2&amp;CompressorOnly&amp;$C47,CZ12CycleOnOff,8,0),IF(CECCZ="CZ13",VLOOKUP($A$1&amp;CECCZ&amp;$G$2&amp;CompressorOnly&amp;$C47,CZ13CycleOnOff,8,0)))))</f>
        <v>#NAME?</v>
      </c>
      <c r="I47" s="224" t="str">
        <f t="shared" si="45"/>
        <v>#REF!</v>
      </c>
      <c r="J47" s="225" t="str">
        <f t="shared" si="46"/>
        <v>#REF!</v>
      </c>
    </row>
    <row r="48" ht="15.75" customHeight="1">
      <c r="A48" s="36"/>
      <c r="B48" s="221" t="str">
        <f t="shared" si="42"/>
        <v>#REF!</v>
      </c>
      <c r="C48" s="196">
        <v>2.0</v>
      </c>
      <c r="D48" s="222" t="str">
        <f t="shared" ref="D48:E48" si="52">#REF!</f>
        <v>#REF!</v>
      </c>
      <c r="E48" s="223" t="str">
        <f t="shared" si="52"/>
        <v>#REF!</v>
      </c>
      <c r="F48" s="196" t="str">
        <f t="shared" si="44"/>
        <v>#REF!</v>
      </c>
      <c r="G48" s="224" t="str">
        <f>IF($B$1="CZ03",VLOOKUP($A$1&amp;CECCZ&amp;$G$2&amp;CompressorOnly&amp;$C48,CZ03CycleOnOff,7,0),IF($B$1="CZ04",VLOOKUP($A$1&amp;CECCZ&amp;$G$2&amp;CompressorOnly&amp;$C48,CZ04CycleOnOff,7,0),IF(CECCZ="CZ12",VLOOKUP($A$1&amp;CECCZ&amp;$G$2&amp;CompressorOnly&amp;$C48,CZ12CycleOnOff,7,0),IF(CECCZ="CZ13",VLOOKUP($A$1&amp;CECCZ&amp;$G$2&amp;CompressorOnly&amp;$C48,CZ13CycleOnOff,7,0)))))</f>
        <v>#NAME?</v>
      </c>
      <c r="H48" s="224" t="str">
        <f>IF(CECCZ="CZ03",VLOOKUP($A$1&amp;CECCZ&amp;$G$2&amp;CompressorOnly&amp;$C48,CZ03CycleOnOff,8,0),IF(CECCZ="CZ04",VLOOKUP($A$1&amp;CECCZ&amp;$G$2&amp;CompressorOnly&amp;$C48,CZ04CycleOnOff,8,0),IF(CECCZ="CZ12",VLOOKUP($A$1&amp;CECCZ&amp;$G$2&amp;CompressorOnly&amp;$C48,CZ12CycleOnOff,8,0),IF(CECCZ="CZ13",VLOOKUP($A$1&amp;CECCZ&amp;$G$2&amp;CompressorOnly&amp;$C48,CZ13CycleOnOff,8,0)))))</f>
        <v>#NAME?</v>
      </c>
      <c r="I48" s="224" t="str">
        <f t="shared" si="45"/>
        <v>#REF!</v>
      </c>
      <c r="J48" s="225" t="str">
        <f t="shared" si="46"/>
        <v>#REF!</v>
      </c>
    </row>
    <row r="49" ht="15.75" customHeight="1">
      <c r="A49" s="36"/>
      <c r="B49" s="221" t="str">
        <f t="shared" si="42"/>
        <v>#REF!</v>
      </c>
      <c r="C49" s="196">
        <v>3.0</v>
      </c>
      <c r="D49" s="222" t="str">
        <f t="shared" ref="D49:E49" si="53">#REF!</f>
        <v>#REF!</v>
      </c>
      <c r="E49" s="223" t="str">
        <f t="shared" si="53"/>
        <v>#REF!</v>
      </c>
      <c r="F49" s="196" t="str">
        <f t="shared" si="44"/>
        <v>#REF!</v>
      </c>
      <c r="G49" s="224" t="str">
        <f>IF($B$1="CZ03",VLOOKUP($A$1&amp;CECCZ&amp;$G$2&amp;CompressorOnly&amp;$C49,CZ03CycleOnOff,7,0),IF($B$1="CZ04",VLOOKUP($A$1&amp;CECCZ&amp;$G$2&amp;CompressorOnly&amp;$C49,CZ04CycleOnOff,7,0),IF(CECCZ="CZ12",VLOOKUP($A$1&amp;CECCZ&amp;$G$2&amp;CompressorOnly&amp;$C49,CZ12CycleOnOff,7,0),IF(CECCZ="CZ13",VLOOKUP($A$1&amp;CECCZ&amp;$G$2&amp;CompressorOnly&amp;$C49,CZ13CycleOnOff,7,0)))))</f>
        <v>#NAME?</v>
      </c>
      <c r="H49" s="224" t="str">
        <f>IF(CECCZ="CZ03",VLOOKUP($A$1&amp;CECCZ&amp;$G$2&amp;CompressorOnly&amp;$C49,CZ03CycleOnOff,8,0),IF(CECCZ="CZ04",VLOOKUP($A$1&amp;CECCZ&amp;$G$2&amp;CompressorOnly&amp;$C49,CZ04CycleOnOff,8,0),IF(CECCZ="CZ12",VLOOKUP($A$1&amp;CECCZ&amp;$G$2&amp;CompressorOnly&amp;$C49,CZ12CycleOnOff,8,0),IF(CECCZ="CZ13",VLOOKUP($A$1&amp;CECCZ&amp;$G$2&amp;CompressorOnly&amp;$C49,CZ13CycleOnOff,8,0)))))</f>
        <v>#NAME?</v>
      </c>
      <c r="I49" s="224" t="str">
        <f t="shared" si="45"/>
        <v>#REF!</v>
      </c>
      <c r="J49" s="225" t="str">
        <f t="shared" si="46"/>
        <v>#REF!</v>
      </c>
    </row>
    <row r="50" ht="15.75" customHeight="1">
      <c r="A50" s="36"/>
      <c r="B50" s="221" t="str">
        <f t="shared" si="42"/>
        <v>#REF!</v>
      </c>
      <c r="C50" s="196">
        <v>3.0</v>
      </c>
      <c r="D50" s="222" t="str">
        <f t="shared" ref="D50:E50" si="54">#REF!</f>
        <v>#REF!</v>
      </c>
      <c r="E50" s="223" t="str">
        <f t="shared" si="54"/>
        <v>#REF!</v>
      </c>
      <c r="F50" s="196" t="str">
        <f t="shared" si="44"/>
        <v>#REF!</v>
      </c>
      <c r="G50" s="224" t="str">
        <f>IF($B$1="CZ03",VLOOKUP($A$1&amp;CECCZ&amp;$G$2&amp;CompressorOnly&amp;$C50,CZ03CycleOnOff,7,0),IF($B$1="CZ04",VLOOKUP($A$1&amp;CECCZ&amp;$G$2&amp;CompressorOnly&amp;$C50,CZ04CycleOnOff,7,0),IF(CECCZ="CZ12",VLOOKUP($A$1&amp;CECCZ&amp;$G$2&amp;CompressorOnly&amp;$C50,CZ12CycleOnOff,7,0),IF(CECCZ="CZ13",VLOOKUP($A$1&amp;CECCZ&amp;$G$2&amp;CompressorOnly&amp;$C50,CZ13CycleOnOff,7,0)))))</f>
        <v>#NAME?</v>
      </c>
      <c r="H50" s="224" t="str">
        <f>IF(CECCZ="CZ03",VLOOKUP($A$1&amp;CECCZ&amp;$G$2&amp;CompressorOnly&amp;$C50,CZ03CycleOnOff,8,0),IF(CECCZ="CZ04",VLOOKUP($A$1&amp;CECCZ&amp;$G$2&amp;CompressorOnly&amp;$C50,CZ04CycleOnOff,8,0),IF(CECCZ="CZ12",VLOOKUP($A$1&amp;CECCZ&amp;$G$2&amp;CompressorOnly&amp;$C50,CZ12CycleOnOff,8,0),IF(CECCZ="CZ13",VLOOKUP($A$1&amp;CECCZ&amp;$G$2&amp;CompressorOnly&amp;$C50,CZ13CycleOnOff,8,0)))))</f>
        <v>#NAME?</v>
      </c>
      <c r="I50" s="224" t="str">
        <f t="shared" si="45"/>
        <v>#REF!</v>
      </c>
      <c r="J50" s="225" t="str">
        <f t="shared" si="46"/>
        <v>#REF!</v>
      </c>
    </row>
    <row r="51" ht="15.75" customHeight="1">
      <c r="A51" s="36"/>
      <c r="B51" s="221" t="str">
        <f t="shared" si="42"/>
        <v>#REF!</v>
      </c>
      <c r="C51" s="196">
        <v>3.0</v>
      </c>
      <c r="D51" s="222" t="str">
        <f t="shared" ref="D51:E51" si="55">#REF!</f>
        <v>#REF!</v>
      </c>
      <c r="E51" s="223" t="str">
        <f t="shared" si="55"/>
        <v>#REF!</v>
      </c>
      <c r="F51" s="196" t="str">
        <f t="shared" si="44"/>
        <v>#REF!</v>
      </c>
      <c r="G51" s="224" t="str">
        <f>IF($B$1="CZ03",VLOOKUP($A$1&amp;CECCZ&amp;$G$2&amp;CompressorOnly&amp;$C51,CZ03CycleOnOff,7,0),IF($B$1="CZ04",VLOOKUP($A$1&amp;CECCZ&amp;$G$2&amp;CompressorOnly&amp;$C51,CZ04CycleOnOff,7,0),IF(CECCZ="CZ12",VLOOKUP($A$1&amp;CECCZ&amp;$G$2&amp;CompressorOnly&amp;$C51,CZ12CycleOnOff,7,0),IF(CECCZ="CZ13",VLOOKUP($A$1&amp;CECCZ&amp;$G$2&amp;CompressorOnly&amp;$C51,CZ13CycleOnOff,7,0)))))</f>
        <v>#NAME?</v>
      </c>
      <c r="H51" s="224" t="str">
        <f>IF(CECCZ="CZ03",VLOOKUP($A$1&amp;CECCZ&amp;$G$2&amp;CompressorOnly&amp;$C51,CZ03CycleOnOff,8,0),IF(CECCZ="CZ04",VLOOKUP($A$1&amp;CECCZ&amp;$G$2&amp;CompressorOnly&amp;$C51,CZ04CycleOnOff,8,0),IF(CECCZ="CZ12",VLOOKUP($A$1&amp;CECCZ&amp;$G$2&amp;CompressorOnly&amp;$C51,CZ12CycleOnOff,8,0),IF(CECCZ="CZ13",VLOOKUP($A$1&amp;CECCZ&amp;$G$2&amp;CompressorOnly&amp;$C51,CZ13CycleOnOff,8,0)))))</f>
        <v>#NAME?</v>
      </c>
      <c r="I51" s="224" t="str">
        <f t="shared" si="45"/>
        <v>#REF!</v>
      </c>
      <c r="J51" s="225" t="str">
        <f t="shared" si="46"/>
        <v>#REF!</v>
      </c>
    </row>
    <row r="52" ht="15.75" customHeight="1">
      <c r="A52" s="36"/>
      <c r="B52" s="221" t="str">
        <f t="shared" si="42"/>
        <v>#REF!</v>
      </c>
      <c r="C52" s="196">
        <v>3.0</v>
      </c>
      <c r="D52" s="222" t="str">
        <f t="shared" ref="D52:E52" si="56">#REF!</f>
        <v>#REF!</v>
      </c>
      <c r="E52" s="223" t="str">
        <f t="shared" si="56"/>
        <v>#REF!</v>
      </c>
      <c r="F52" s="196" t="str">
        <f t="shared" si="44"/>
        <v>#REF!</v>
      </c>
      <c r="G52" s="224" t="str">
        <f>IF($B$1="CZ03",VLOOKUP($A$1&amp;CECCZ&amp;$G$2&amp;CompressorOnly&amp;$C52,CZ03CycleOnOff,7,0),IF($B$1="CZ04",VLOOKUP($A$1&amp;CECCZ&amp;$G$2&amp;CompressorOnly&amp;$C52,CZ04CycleOnOff,7,0),IF(CECCZ="CZ12",VLOOKUP($A$1&amp;CECCZ&amp;$G$2&amp;CompressorOnly&amp;$C52,CZ12CycleOnOff,7,0),IF(CECCZ="CZ13",VLOOKUP($A$1&amp;CECCZ&amp;$G$2&amp;CompressorOnly&amp;$C52,CZ13CycleOnOff,7,0)))))</f>
        <v>#NAME?</v>
      </c>
      <c r="H52" s="224" t="str">
        <f>IF(CECCZ="CZ03",VLOOKUP($A$1&amp;CECCZ&amp;$G$2&amp;CompressorOnly&amp;$C52,CZ03CycleOnOff,8,0),IF(CECCZ="CZ04",VLOOKUP($A$1&amp;CECCZ&amp;$G$2&amp;CompressorOnly&amp;$C52,CZ04CycleOnOff,8,0),IF(CECCZ="CZ12",VLOOKUP($A$1&amp;CECCZ&amp;$G$2&amp;CompressorOnly&amp;$C52,CZ12CycleOnOff,8,0),IF(CECCZ="CZ13",VLOOKUP($A$1&amp;CECCZ&amp;$G$2&amp;CompressorOnly&amp;$C52,CZ13CycleOnOff,8,0)))))</f>
        <v>#NAME?</v>
      </c>
      <c r="I52" s="224" t="str">
        <f t="shared" si="45"/>
        <v>#REF!</v>
      </c>
      <c r="J52" s="225" t="str">
        <f t="shared" si="46"/>
        <v>#REF!</v>
      </c>
    </row>
    <row r="53" ht="15.75" customHeight="1">
      <c r="A53" s="36"/>
      <c r="B53" s="221" t="str">
        <f t="shared" si="42"/>
        <v>#REF!</v>
      </c>
      <c r="C53" s="196">
        <v>4.0</v>
      </c>
      <c r="D53" s="222" t="str">
        <f t="shared" ref="D53:E53" si="57">#REF!</f>
        <v>#REF!</v>
      </c>
      <c r="E53" s="223" t="str">
        <f t="shared" si="57"/>
        <v>#REF!</v>
      </c>
      <c r="F53" s="196" t="str">
        <f t="shared" si="44"/>
        <v>#REF!</v>
      </c>
      <c r="G53" s="224" t="str">
        <f>IF($B$1="CZ03",VLOOKUP($A$1&amp;CECCZ&amp;$G$2&amp;CompressorOnly&amp;$C53,CZ03CycleOnOff,7,0),IF($B$1="CZ04",VLOOKUP($A$1&amp;CECCZ&amp;$G$2&amp;CompressorOnly&amp;$C53,CZ04CycleOnOff,7,0),IF(CECCZ="CZ12",VLOOKUP($A$1&amp;CECCZ&amp;$G$2&amp;CompressorOnly&amp;$C53,CZ12CycleOnOff,7,0),IF(CECCZ="CZ13",VLOOKUP($A$1&amp;CECCZ&amp;$G$2&amp;CompressorOnly&amp;$C53,CZ13CycleOnOff,7,0)))))</f>
        <v>#NAME?</v>
      </c>
      <c r="H53" s="224" t="str">
        <f>IF(CECCZ="CZ03",VLOOKUP($A$1&amp;CECCZ&amp;$G$2&amp;CompressorOnly&amp;$C53,CZ03CycleOnOff,8,0),IF(CECCZ="CZ04",VLOOKUP($A$1&amp;CECCZ&amp;$G$2&amp;CompressorOnly&amp;$C53,CZ04CycleOnOff,8,0),IF(CECCZ="CZ12",VLOOKUP($A$1&amp;CECCZ&amp;$G$2&amp;CompressorOnly&amp;$C53,CZ12CycleOnOff,8,0),IF(CECCZ="CZ13",VLOOKUP($A$1&amp;CECCZ&amp;$G$2&amp;CompressorOnly&amp;$C53,CZ13CycleOnOff,8,0)))))</f>
        <v>#NAME?</v>
      </c>
      <c r="I53" s="224" t="str">
        <f t="shared" si="45"/>
        <v>#REF!</v>
      </c>
      <c r="J53" s="225" t="str">
        <f t="shared" si="46"/>
        <v>#REF!</v>
      </c>
    </row>
    <row r="54" ht="15.75" customHeight="1">
      <c r="A54" s="36"/>
      <c r="B54" s="221" t="str">
        <f t="shared" si="42"/>
        <v>#REF!</v>
      </c>
      <c r="C54" s="196">
        <v>4.0</v>
      </c>
      <c r="D54" s="222" t="str">
        <f t="shared" ref="D54:E54" si="58">#REF!</f>
        <v>#REF!</v>
      </c>
      <c r="E54" s="223" t="str">
        <f t="shared" si="58"/>
        <v>#REF!</v>
      </c>
      <c r="F54" s="196" t="str">
        <f t="shared" si="44"/>
        <v>#REF!</v>
      </c>
      <c r="G54" s="224" t="str">
        <f>IF($B$1="CZ03",VLOOKUP($A$1&amp;CECCZ&amp;$G$2&amp;CompressorOnly&amp;$C54,CZ03CycleOnOff,7,0),IF($B$1="CZ04",VLOOKUP($A$1&amp;CECCZ&amp;$G$2&amp;CompressorOnly&amp;$C54,CZ04CycleOnOff,7,0),IF(CECCZ="CZ12",VLOOKUP($A$1&amp;CECCZ&amp;$G$2&amp;CompressorOnly&amp;$C54,CZ12CycleOnOff,7,0),IF(CECCZ="CZ13",VLOOKUP($A$1&amp;CECCZ&amp;$G$2&amp;CompressorOnly&amp;$C54,CZ13CycleOnOff,7,0)))))</f>
        <v>#NAME?</v>
      </c>
      <c r="H54" s="224" t="str">
        <f>IF(CECCZ="CZ03",VLOOKUP($A$1&amp;CECCZ&amp;$G$2&amp;CompressorOnly&amp;$C54,CZ03CycleOnOff,8,0),IF(CECCZ="CZ04",VLOOKUP($A$1&amp;CECCZ&amp;$G$2&amp;CompressorOnly&amp;$C54,CZ04CycleOnOff,8,0),IF(CECCZ="CZ12",VLOOKUP($A$1&amp;CECCZ&amp;$G$2&amp;CompressorOnly&amp;$C54,CZ12CycleOnOff,8,0),IF(CECCZ="CZ13",VLOOKUP($A$1&amp;CECCZ&amp;$G$2&amp;CompressorOnly&amp;$C54,CZ13CycleOnOff,8,0)))))</f>
        <v>#NAME?</v>
      </c>
      <c r="I54" s="224" t="str">
        <f t="shared" si="45"/>
        <v>#REF!</v>
      </c>
      <c r="J54" s="225" t="str">
        <f t="shared" si="46"/>
        <v>#REF!</v>
      </c>
    </row>
    <row r="55" ht="15.75" customHeight="1">
      <c r="A55" s="36"/>
      <c r="B55" s="221" t="str">
        <f t="shared" si="42"/>
        <v>#REF!</v>
      </c>
      <c r="C55" s="196">
        <v>4.0</v>
      </c>
      <c r="D55" s="222" t="str">
        <f t="shared" ref="D55:E55" si="59">#REF!</f>
        <v>#REF!</v>
      </c>
      <c r="E55" s="223" t="str">
        <f t="shared" si="59"/>
        <v>#REF!</v>
      </c>
      <c r="F55" s="196" t="str">
        <f t="shared" si="44"/>
        <v>#REF!</v>
      </c>
      <c r="G55" s="224" t="str">
        <f>IF($B$1="CZ03",VLOOKUP($A$1&amp;CECCZ&amp;$G$2&amp;CompressorOnly&amp;$C55,CZ03CycleOnOff,7,0),IF($B$1="CZ04",VLOOKUP($A$1&amp;CECCZ&amp;$G$2&amp;CompressorOnly&amp;$C55,CZ04CycleOnOff,7,0),IF(CECCZ="CZ12",VLOOKUP($A$1&amp;CECCZ&amp;$G$2&amp;CompressorOnly&amp;$C55,CZ12CycleOnOff,7,0),IF(CECCZ="CZ13",VLOOKUP($A$1&amp;CECCZ&amp;$G$2&amp;CompressorOnly&amp;$C55,CZ13CycleOnOff,7,0)))))</f>
        <v>#NAME?</v>
      </c>
      <c r="H55" s="224" t="str">
        <f>IF(CECCZ="CZ03",VLOOKUP($A$1&amp;CECCZ&amp;$G$2&amp;CompressorOnly&amp;$C55,CZ03CycleOnOff,8,0),IF(CECCZ="CZ04",VLOOKUP($A$1&amp;CECCZ&amp;$G$2&amp;CompressorOnly&amp;$C55,CZ04CycleOnOff,8,0),IF(CECCZ="CZ12",VLOOKUP($A$1&amp;CECCZ&amp;$G$2&amp;CompressorOnly&amp;$C55,CZ12CycleOnOff,8,0),IF(CECCZ="CZ13",VLOOKUP($A$1&amp;CECCZ&amp;$G$2&amp;CompressorOnly&amp;$C55,CZ13CycleOnOff,8,0)))))</f>
        <v>#NAME?</v>
      </c>
      <c r="I55" s="224" t="str">
        <f t="shared" si="45"/>
        <v>#REF!</v>
      </c>
      <c r="J55" s="225" t="str">
        <f t="shared" si="46"/>
        <v>#REF!</v>
      </c>
    </row>
    <row r="56" ht="15.75" customHeight="1">
      <c r="A56" s="36"/>
      <c r="B56" s="221" t="str">
        <f t="shared" si="42"/>
        <v>#REF!</v>
      </c>
      <c r="C56" s="196">
        <v>4.0</v>
      </c>
      <c r="D56" s="222" t="str">
        <f t="shared" ref="D56:E56" si="60">#REF!</f>
        <v>#REF!</v>
      </c>
      <c r="E56" s="223" t="str">
        <f t="shared" si="60"/>
        <v>#REF!</v>
      </c>
      <c r="F56" s="196" t="str">
        <f t="shared" si="44"/>
        <v>#REF!</v>
      </c>
      <c r="G56" s="224" t="str">
        <f>IF($B$1="CZ03",VLOOKUP($A$1&amp;CECCZ&amp;$G$2&amp;CompressorOnly&amp;$C56,CZ03CycleOnOff,7,0),IF($B$1="CZ04",VLOOKUP($A$1&amp;CECCZ&amp;$G$2&amp;CompressorOnly&amp;$C56,CZ04CycleOnOff,7,0),IF(CECCZ="CZ12",VLOOKUP($A$1&amp;CECCZ&amp;$G$2&amp;CompressorOnly&amp;$C56,CZ12CycleOnOff,7,0),IF(CECCZ="CZ13",VLOOKUP($A$1&amp;CECCZ&amp;$G$2&amp;CompressorOnly&amp;$C56,CZ13CycleOnOff,7,0)))))</f>
        <v>#NAME?</v>
      </c>
      <c r="H56" s="224" t="str">
        <f>IF(CECCZ="CZ03",VLOOKUP($A$1&amp;CECCZ&amp;$G$2&amp;CompressorOnly&amp;$C56,CZ03CycleOnOff,8,0),IF(CECCZ="CZ04",VLOOKUP($A$1&amp;CECCZ&amp;$G$2&amp;CompressorOnly&amp;$C56,CZ04CycleOnOff,8,0),IF(CECCZ="CZ12",VLOOKUP($A$1&amp;CECCZ&amp;$G$2&amp;CompressorOnly&amp;$C56,CZ12CycleOnOff,8,0),IF(CECCZ="CZ13",VLOOKUP($A$1&amp;CECCZ&amp;$G$2&amp;CompressorOnly&amp;$C56,CZ13CycleOnOff,8,0)))))</f>
        <v>#NAME?</v>
      </c>
      <c r="I56" s="224" t="str">
        <f t="shared" si="45"/>
        <v>#REF!</v>
      </c>
      <c r="J56" s="225" t="str">
        <f t="shared" si="46"/>
        <v>#REF!</v>
      </c>
    </row>
    <row r="57" ht="15.75" customHeight="1">
      <c r="A57" s="36"/>
      <c r="J57" s="51"/>
    </row>
    <row r="58" ht="15.75" customHeight="1">
      <c r="A58" s="36"/>
      <c r="B58" s="218"/>
      <c r="C58" s="218"/>
      <c r="D58" s="226"/>
      <c r="E58" s="218"/>
      <c r="F58" s="218"/>
      <c r="G58" s="203" t="s">
        <v>205</v>
      </c>
      <c r="H58" s="203" t="str">
        <f>CompressorOnly</f>
        <v>#NAME?</v>
      </c>
      <c r="I58" s="218"/>
      <c r="J58" s="220"/>
    </row>
    <row r="59" ht="15.75" customHeight="1">
      <c r="A59" s="36"/>
      <c r="B59" s="218" t="s">
        <v>230</v>
      </c>
      <c r="C59" s="218" t="s">
        <v>231</v>
      </c>
      <c r="D59" s="218" t="s">
        <v>232</v>
      </c>
      <c r="E59" s="218" t="s">
        <v>233</v>
      </c>
      <c r="F59" s="218" t="s">
        <v>234</v>
      </c>
      <c r="G59" s="218" t="s">
        <v>207</v>
      </c>
      <c r="H59" s="219" t="str">
        <f>DutyCycleMinutes</f>
        <v>#NAME?</v>
      </c>
      <c r="I59" s="218" t="s">
        <v>235</v>
      </c>
      <c r="J59" s="220" t="s">
        <v>236</v>
      </c>
    </row>
    <row r="60" ht="15.75" customHeight="1">
      <c r="A60" s="36"/>
      <c r="B60" s="221" t="str">
        <f t="shared" ref="B60:B75" si="62">#REF!</f>
        <v>#REF!</v>
      </c>
      <c r="C60" s="196">
        <v>1.0</v>
      </c>
      <c r="D60" s="222" t="str">
        <f t="shared" ref="D60:E60" si="61">#REF!</f>
        <v>#REF!</v>
      </c>
      <c r="E60" s="223" t="str">
        <f t="shared" si="61"/>
        <v>#REF!</v>
      </c>
      <c r="F60" s="196" t="str">
        <f t="shared" ref="F60:F75" si="64">IF(E60&lt;75,1,IF(AND(E60&gt;=75, E60&lt;95),2,IF(E60&gt;=95,3)))</f>
        <v>#REF!</v>
      </c>
      <c r="G60" s="224" t="str">
        <f>IF($B$1="CZ03",VLOOKUP($A$1&amp;CECCZ&amp;$G$2&amp;CompressorOnly&amp;$C60,CZ03CycleOnOff,7,0),IF($B$1="CZ04",VLOOKUP($A$1&amp;CECCZ&amp;$G$2&amp;CompressorOnly&amp;$C60,CZ04CycleOnOff,7,0),IF(CECCZ="CZ12",VLOOKUP($A$1&amp;CECCZ&amp;$G$2&amp;CompressorOnly&amp;$C60,CZ12CycleOnOff,7,0),IF(CECCZ="CZ13",VLOOKUP($A$1&amp;CECCZ&amp;$G$2&amp;CompressorOnly&amp;$C60,CZ13CycleOnOff,7,0)))))</f>
        <v>#NAME?</v>
      </c>
      <c r="H60" s="224" t="str">
        <f>IF(CECCZ="CZ03",VLOOKUP($A$1&amp;CECCZ&amp;$G$2&amp;CompressorOnly&amp;$C60,CZ03CycleOnOff,8,0),IF(CECCZ="CZ04",VLOOKUP($A$1&amp;CECCZ&amp;$G$2&amp;CompressorOnly&amp;$C60,CZ04CycleOnOff,8,0),IF(CECCZ="CZ12",VLOOKUP($A$1&amp;CECCZ&amp;$G$2&amp;CompressorOnly&amp;$C60,CZ12CycleOnOff,8,0),IF(CECCZ="CZ13",VLOOKUP($A$1&amp;CECCZ&amp;$G$2&amp;CompressorOnly&amp;$C60,CZ13CycleOnOff,8,0)))))</f>
        <v>#NAME?</v>
      </c>
      <c r="I60" s="224" t="str">
        <f t="shared" ref="I60:I75" si="65">(E60*G60+H60)/100*DutyCycleMinutes/60</f>
        <v>#REF!</v>
      </c>
      <c r="J60" s="225" t="str">
        <f t="shared" ref="J60:J75" si="66">I60*D60</f>
        <v>#REF!</v>
      </c>
    </row>
    <row r="61" ht="15.75" customHeight="1">
      <c r="A61" s="36"/>
      <c r="B61" s="221" t="str">
        <f t="shared" si="62"/>
        <v>#REF!</v>
      </c>
      <c r="C61" s="196">
        <v>1.0</v>
      </c>
      <c r="D61" s="222" t="str">
        <f t="shared" ref="D61:E61" si="63">#REF!</f>
        <v>#REF!</v>
      </c>
      <c r="E61" s="223" t="str">
        <f t="shared" si="63"/>
        <v>#REF!</v>
      </c>
      <c r="F61" s="196" t="str">
        <f t="shared" si="64"/>
        <v>#REF!</v>
      </c>
      <c r="G61" s="224" t="str">
        <f>IF($B$1="CZ03",VLOOKUP($A$1&amp;CECCZ&amp;$G$2&amp;CompressorOnly&amp;$C61,CZ03CycleOnOff,7,0),IF($B$1="CZ04",VLOOKUP($A$1&amp;CECCZ&amp;$G$2&amp;CompressorOnly&amp;$C61,CZ04CycleOnOff,7,0),IF(CECCZ="CZ12",VLOOKUP($A$1&amp;CECCZ&amp;$G$2&amp;CompressorOnly&amp;$C61,CZ12CycleOnOff,7,0),IF(CECCZ="CZ13",VLOOKUP($A$1&amp;CECCZ&amp;$G$2&amp;CompressorOnly&amp;$C61,CZ13CycleOnOff,7,0)))))</f>
        <v>#NAME?</v>
      </c>
      <c r="H61" s="224" t="str">
        <f>IF(CECCZ="CZ03",VLOOKUP($A$1&amp;CECCZ&amp;$G$2&amp;CompressorOnly&amp;$C61,CZ03CycleOnOff,8,0),IF(CECCZ="CZ04",VLOOKUP($A$1&amp;CECCZ&amp;$G$2&amp;CompressorOnly&amp;$C61,CZ04CycleOnOff,8,0),IF(CECCZ="CZ12",VLOOKUP($A$1&amp;CECCZ&amp;$G$2&amp;CompressorOnly&amp;$C61,CZ12CycleOnOff,8,0),IF(CECCZ="CZ13",VLOOKUP($A$1&amp;CECCZ&amp;$G$2&amp;CompressorOnly&amp;$C61,CZ13CycleOnOff,8,0)))))</f>
        <v>#NAME?</v>
      </c>
      <c r="I61" s="224" t="str">
        <f t="shared" si="65"/>
        <v>#REF!</v>
      </c>
      <c r="J61" s="225" t="str">
        <f t="shared" si="66"/>
        <v>#REF!</v>
      </c>
    </row>
    <row r="62" ht="15.75" customHeight="1">
      <c r="A62" s="36"/>
      <c r="B62" s="221" t="str">
        <f t="shared" si="62"/>
        <v>#REF!</v>
      </c>
      <c r="C62" s="196">
        <v>1.0</v>
      </c>
      <c r="D62" s="222" t="str">
        <f t="shared" ref="D62:E62" si="67">#REF!</f>
        <v>#REF!</v>
      </c>
      <c r="E62" s="223" t="str">
        <f t="shared" si="67"/>
        <v>#REF!</v>
      </c>
      <c r="F62" s="196" t="str">
        <f t="shared" si="64"/>
        <v>#REF!</v>
      </c>
      <c r="G62" s="224" t="str">
        <f>IF($B$1="CZ03",VLOOKUP($A$1&amp;CECCZ&amp;$G$2&amp;CompressorOnly&amp;$C62,CZ03CycleOnOff,7,0),IF($B$1="CZ04",VLOOKUP($A$1&amp;CECCZ&amp;$G$2&amp;CompressorOnly&amp;$C62,CZ04CycleOnOff,7,0),IF(CECCZ="CZ12",VLOOKUP($A$1&amp;CECCZ&amp;$G$2&amp;CompressorOnly&amp;$C62,CZ12CycleOnOff,7,0),IF(CECCZ="CZ13",VLOOKUP($A$1&amp;CECCZ&amp;$G$2&amp;CompressorOnly&amp;$C62,CZ13CycleOnOff,7,0)))))</f>
        <v>#NAME?</v>
      </c>
      <c r="H62" s="224" t="str">
        <f>IF(CECCZ="CZ03",VLOOKUP($A$1&amp;CECCZ&amp;$G$2&amp;CompressorOnly&amp;$C62,CZ03CycleOnOff,8,0),IF(CECCZ="CZ04",VLOOKUP($A$1&amp;CECCZ&amp;$G$2&amp;CompressorOnly&amp;$C62,CZ04CycleOnOff,8,0),IF(CECCZ="CZ12",VLOOKUP($A$1&amp;CECCZ&amp;$G$2&amp;CompressorOnly&amp;$C62,CZ12CycleOnOff,8,0),IF(CECCZ="CZ13",VLOOKUP($A$1&amp;CECCZ&amp;$G$2&amp;CompressorOnly&amp;$C62,CZ13CycleOnOff,8,0)))))</f>
        <v>#NAME?</v>
      </c>
      <c r="I62" s="224" t="str">
        <f t="shared" si="65"/>
        <v>#REF!</v>
      </c>
      <c r="J62" s="225" t="str">
        <f t="shared" si="66"/>
        <v>#REF!</v>
      </c>
    </row>
    <row r="63" ht="15.75" customHeight="1">
      <c r="A63" s="36"/>
      <c r="B63" s="221" t="str">
        <f t="shared" si="62"/>
        <v>#REF!</v>
      </c>
      <c r="C63" s="196">
        <v>1.0</v>
      </c>
      <c r="D63" s="222" t="str">
        <f t="shared" ref="D63:E63" si="68">#REF!</f>
        <v>#REF!</v>
      </c>
      <c r="E63" s="223" t="str">
        <f t="shared" si="68"/>
        <v>#REF!</v>
      </c>
      <c r="F63" s="196" t="str">
        <f t="shared" si="64"/>
        <v>#REF!</v>
      </c>
      <c r="G63" s="224" t="str">
        <f>IF($B$1="CZ03",VLOOKUP($A$1&amp;CECCZ&amp;$G$2&amp;CompressorOnly&amp;$C63,CZ03CycleOnOff,7,0),IF($B$1="CZ04",VLOOKUP($A$1&amp;CECCZ&amp;$G$2&amp;CompressorOnly&amp;$C63,CZ04CycleOnOff,7,0),IF(CECCZ="CZ12",VLOOKUP($A$1&amp;CECCZ&amp;$G$2&amp;CompressorOnly&amp;$C63,CZ12CycleOnOff,7,0),IF(CECCZ="CZ13",VLOOKUP($A$1&amp;CECCZ&amp;$G$2&amp;CompressorOnly&amp;$C63,CZ13CycleOnOff,7,0)))))</f>
        <v>#NAME?</v>
      </c>
      <c r="H63" s="224" t="str">
        <f>IF(CECCZ="CZ03",VLOOKUP($A$1&amp;CECCZ&amp;$G$2&amp;CompressorOnly&amp;$C63,CZ03CycleOnOff,8,0),IF(CECCZ="CZ04",VLOOKUP($A$1&amp;CECCZ&amp;$G$2&amp;CompressorOnly&amp;$C63,CZ04CycleOnOff,8,0),IF(CECCZ="CZ12",VLOOKUP($A$1&amp;CECCZ&amp;$G$2&amp;CompressorOnly&amp;$C63,CZ12CycleOnOff,8,0),IF(CECCZ="CZ13",VLOOKUP($A$1&amp;CECCZ&amp;$G$2&amp;CompressorOnly&amp;$C63,CZ13CycleOnOff,8,0)))))</f>
        <v>#NAME?</v>
      </c>
      <c r="I63" s="224" t="str">
        <f t="shared" si="65"/>
        <v>#REF!</v>
      </c>
      <c r="J63" s="225" t="str">
        <f t="shared" si="66"/>
        <v>#REF!</v>
      </c>
    </row>
    <row r="64" ht="15.75" customHeight="1">
      <c r="A64" s="36"/>
      <c r="B64" s="221" t="str">
        <f t="shared" si="62"/>
        <v>#REF!</v>
      </c>
      <c r="C64" s="196">
        <v>2.0</v>
      </c>
      <c r="D64" s="222" t="str">
        <f t="shared" ref="D64:E64" si="69">#REF!</f>
        <v>#REF!</v>
      </c>
      <c r="E64" s="223" t="str">
        <f t="shared" si="69"/>
        <v>#REF!</v>
      </c>
      <c r="F64" s="196" t="str">
        <f t="shared" si="64"/>
        <v>#REF!</v>
      </c>
      <c r="G64" s="224" t="str">
        <f>IF($B$1="CZ03",VLOOKUP($A$1&amp;CECCZ&amp;$G$2&amp;CompressorOnly&amp;$C64,CZ03CycleOnOff,7,0),IF($B$1="CZ04",VLOOKUP($A$1&amp;CECCZ&amp;$G$2&amp;CompressorOnly&amp;$C64,CZ04CycleOnOff,7,0),IF(CECCZ="CZ12",VLOOKUP($A$1&amp;CECCZ&amp;$G$2&amp;CompressorOnly&amp;$C64,CZ12CycleOnOff,7,0),IF(CECCZ="CZ13",VLOOKUP($A$1&amp;CECCZ&amp;$G$2&amp;CompressorOnly&amp;$C64,CZ13CycleOnOff,7,0)))))</f>
        <v>#NAME?</v>
      </c>
      <c r="H64" s="224" t="str">
        <f>IF(CECCZ="CZ03",VLOOKUP($A$1&amp;CECCZ&amp;$G$2&amp;CompressorOnly&amp;$C64,CZ03CycleOnOff,8,0),IF(CECCZ="CZ04",VLOOKUP($A$1&amp;CECCZ&amp;$G$2&amp;CompressorOnly&amp;$C64,CZ04CycleOnOff,8,0),IF(CECCZ="CZ12",VLOOKUP($A$1&amp;CECCZ&amp;$G$2&amp;CompressorOnly&amp;$C64,CZ12CycleOnOff,8,0),IF(CECCZ="CZ13",VLOOKUP($A$1&amp;CECCZ&amp;$G$2&amp;CompressorOnly&amp;$C64,CZ13CycleOnOff,8,0)))))</f>
        <v>#NAME?</v>
      </c>
      <c r="I64" s="224" t="str">
        <f t="shared" si="65"/>
        <v>#REF!</v>
      </c>
      <c r="J64" s="225" t="str">
        <f t="shared" si="66"/>
        <v>#REF!</v>
      </c>
    </row>
    <row r="65" ht="15.75" customHeight="1">
      <c r="A65" s="36"/>
      <c r="B65" s="221" t="str">
        <f t="shared" si="62"/>
        <v>#REF!</v>
      </c>
      <c r="C65" s="196">
        <v>2.0</v>
      </c>
      <c r="D65" s="222" t="str">
        <f t="shared" ref="D65:E65" si="70">#REF!</f>
        <v>#REF!</v>
      </c>
      <c r="E65" s="223" t="str">
        <f t="shared" si="70"/>
        <v>#REF!</v>
      </c>
      <c r="F65" s="196" t="str">
        <f t="shared" si="64"/>
        <v>#REF!</v>
      </c>
      <c r="G65" s="224" t="str">
        <f>IF($B$1="CZ03",VLOOKUP($A$1&amp;CECCZ&amp;$G$2&amp;CompressorOnly&amp;$C65,CZ03CycleOnOff,7,0),IF($B$1="CZ04",VLOOKUP($A$1&amp;CECCZ&amp;$G$2&amp;CompressorOnly&amp;$C65,CZ04CycleOnOff,7,0),IF(CECCZ="CZ12",VLOOKUP($A$1&amp;CECCZ&amp;$G$2&amp;CompressorOnly&amp;$C65,CZ12CycleOnOff,7,0),IF(CECCZ="CZ13",VLOOKUP($A$1&amp;CECCZ&amp;$G$2&amp;CompressorOnly&amp;$C65,CZ13CycleOnOff,7,0)))))</f>
        <v>#NAME?</v>
      </c>
      <c r="H65" s="224" t="str">
        <f>IF(CECCZ="CZ03",VLOOKUP($A$1&amp;CECCZ&amp;$G$2&amp;CompressorOnly&amp;$C65,CZ03CycleOnOff,8,0),IF(CECCZ="CZ04",VLOOKUP($A$1&amp;CECCZ&amp;$G$2&amp;CompressorOnly&amp;$C65,CZ04CycleOnOff,8,0),IF(CECCZ="CZ12",VLOOKUP($A$1&amp;CECCZ&amp;$G$2&amp;CompressorOnly&amp;$C65,CZ12CycleOnOff,8,0),IF(CECCZ="CZ13",VLOOKUP($A$1&amp;CECCZ&amp;$G$2&amp;CompressorOnly&amp;$C65,CZ13CycleOnOff,8,0)))))</f>
        <v>#NAME?</v>
      </c>
      <c r="I65" s="224" t="str">
        <f t="shared" si="65"/>
        <v>#REF!</v>
      </c>
      <c r="J65" s="225" t="str">
        <f t="shared" si="66"/>
        <v>#REF!</v>
      </c>
    </row>
    <row r="66" ht="15.75" customHeight="1">
      <c r="A66" s="36"/>
      <c r="B66" s="221" t="str">
        <f t="shared" si="62"/>
        <v>#REF!</v>
      </c>
      <c r="C66" s="196">
        <v>2.0</v>
      </c>
      <c r="D66" s="222" t="str">
        <f t="shared" ref="D66:E66" si="71">#REF!</f>
        <v>#REF!</v>
      </c>
      <c r="E66" s="223" t="str">
        <f t="shared" si="71"/>
        <v>#REF!</v>
      </c>
      <c r="F66" s="196" t="str">
        <f t="shared" si="64"/>
        <v>#REF!</v>
      </c>
      <c r="G66" s="224" t="str">
        <f>IF($B$1="CZ03",VLOOKUP($A$1&amp;CECCZ&amp;$G$2&amp;CompressorOnly&amp;$C66,CZ03CycleOnOff,7,0),IF($B$1="CZ04",VLOOKUP($A$1&amp;CECCZ&amp;$G$2&amp;CompressorOnly&amp;$C66,CZ04CycleOnOff,7,0),IF(CECCZ="CZ12",VLOOKUP($A$1&amp;CECCZ&amp;$G$2&amp;CompressorOnly&amp;$C66,CZ12CycleOnOff,7,0),IF(CECCZ="CZ13",VLOOKUP($A$1&amp;CECCZ&amp;$G$2&amp;CompressorOnly&amp;$C66,CZ13CycleOnOff,7,0)))))</f>
        <v>#NAME?</v>
      </c>
      <c r="H66" s="224" t="str">
        <f>IF(CECCZ="CZ03",VLOOKUP($A$1&amp;CECCZ&amp;$G$2&amp;CompressorOnly&amp;$C66,CZ03CycleOnOff,8,0),IF(CECCZ="CZ04",VLOOKUP($A$1&amp;CECCZ&amp;$G$2&amp;CompressorOnly&amp;$C66,CZ04CycleOnOff,8,0),IF(CECCZ="CZ12",VLOOKUP($A$1&amp;CECCZ&amp;$G$2&amp;CompressorOnly&amp;$C66,CZ12CycleOnOff,8,0),IF(CECCZ="CZ13",VLOOKUP($A$1&amp;CECCZ&amp;$G$2&amp;CompressorOnly&amp;$C66,CZ13CycleOnOff,8,0)))))</f>
        <v>#NAME?</v>
      </c>
      <c r="I66" s="224" t="str">
        <f t="shared" si="65"/>
        <v>#REF!</v>
      </c>
      <c r="J66" s="225" t="str">
        <f t="shared" si="66"/>
        <v>#REF!</v>
      </c>
    </row>
    <row r="67" ht="15.75" customHeight="1">
      <c r="A67" s="36"/>
      <c r="B67" s="221" t="str">
        <f t="shared" si="62"/>
        <v>#REF!</v>
      </c>
      <c r="C67" s="196">
        <v>2.0</v>
      </c>
      <c r="D67" s="222" t="str">
        <f t="shared" ref="D67:E67" si="72">#REF!</f>
        <v>#REF!</v>
      </c>
      <c r="E67" s="223" t="str">
        <f t="shared" si="72"/>
        <v>#REF!</v>
      </c>
      <c r="F67" s="196" t="str">
        <f t="shared" si="64"/>
        <v>#REF!</v>
      </c>
      <c r="G67" s="224" t="str">
        <f>IF($B$1="CZ03",VLOOKUP($A$1&amp;CECCZ&amp;$G$2&amp;CompressorOnly&amp;$C67,CZ03CycleOnOff,7,0),IF($B$1="CZ04",VLOOKUP($A$1&amp;CECCZ&amp;$G$2&amp;CompressorOnly&amp;$C67,CZ04CycleOnOff,7,0),IF(CECCZ="CZ12",VLOOKUP($A$1&amp;CECCZ&amp;$G$2&amp;CompressorOnly&amp;$C67,CZ12CycleOnOff,7,0),IF(CECCZ="CZ13",VLOOKUP($A$1&amp;CECCZ&amp;$G$2&amp;CompressorOnly&amp;$C67,CZ13CycleOnOff,7,0)))))</f>
        <v>#NAME?</v>
      </c>
      <c r="H67" s="224" t="str">
        <f>IF(CECCZ="CZ03",VLOOKUP($A$1&amp;CECCZ&amp;$G$2&amp;CompressorOnly&amp;$C67,CZ03CycleOnOff,8,0),IF(CECCZ="CZ04",VLOOKUP($A$1&amp;CECCZ&amp;$G$2&amp;CompressorOnly&amp;$C67,CZ04CycleOnOff,8,0),IF(CECCZ="CZ12",VLOOKUP($A$1&amp;CECCZ&amp;$G$2&amp;CompressorOnly&amp;$C67,CZ12CycleOnOff,8,0),IF(CECCZ="CZ13",VLOOKUP($A$1&amp;CECCZ&amp;$G$2&amp;CompressorOnly&amp;$C67,CZ13CycleOnOff,8,0)))))</f>
        <v>#NAME?</v>
      </c>
      <c r="I67" s="224" t="str">
        <f t="shared" si="65"/>
        <v>#REF!</v>
      </c>
      <c r="J67" s="225" t="str">
        <f t="shared" si="66"/>
        <v>#REF!</v>
      </c>
    </row>
    <row r="68" ht="15.75" customHeight="1">
      <c r="A68" s="36"/>
      <c r="B68" s="221" t="str">
        <f t="shared" si="62"/>
        <v>#REF!</v>
      </c>
      <c r="C68" s="196">
        <v>3.0</v>
      </c>
      <c r="D68" s="222" t="str">
        <f t="shared" ref="D68:E68" si="73">#REF!</f>
        <v>#REF!</v>
      </c>
      <c r="E68" s="223" t="str">
        <f t="shared" si="73"/>
        <v>#REF!</v>
      </c>
      <c r="F68" s="196" t="str">
        <f t="shared" si="64"/>
        <v>#REF!</v>
      </c>
      <c r="G68" s="224" t="str">
        <f>IF($B$1="CZ03",VLOOKUP($A$1&amp;CECCZ&amp;$G$2&amp;CompressorOnly&amp;$C68,CZ03CycleOnOff,7,0),IF($B$1="CZ04",VLOOKUP($A$1&amp;CECCZ&amp;$G$2&amp;CompressorOnly&amp;$C68,CZ04CycleOnOff,7,0),IF(CECCZ="CZ12",VLOOKUP($A$1&amp;CECCZ&amp;$G$2&amp;CompressorOnly&amp;$C68,CZ12CycleOnOff,7,0),IF(CECCZ="CZ13",VLOOKUP($A$1&amp;CECCZ&amp;$G$2&amp;CompressorOnly&amp;$C68,CZ13CycleOnOff,7,0)))))</f>
        <v>#NAME?</v>
      </c>
      <c r="H68" s="224" t="str">
        <f>IF(CECCZ="CZ03",VLOOKUP($A$1&amp;CECCZ&amp;$G$2&amp;CompressorOnly&amp;$C68,CZ03CycleOnOff,8,0),IF(CECCZ="CZ04",VLOOKUP($A$1&amp;CECCZ&amp;$G$2&amp;CompressorOnly&amp;$C68,CZ04CycleOnOff,8,0),IF(CECCZ="CZ12",VLOOKUP($A$1&amp;CECCZ&amp;$G$2&amp;CompressorOnly&amp;$C68,CZ12CycleOnOff,8,0),IF(CECCZ="CZ13",VLOOKUP($A$1&amp;CECCZ&amp;$G$2&amp;CompressorOnly&amp;$C68,CZ13CycleOnOff,8,0)))))</f>
        <v>#NAME?</v>
      </c>
      <c r="I68" s="224" t="str">
        <f t="shared" si="65"/>
        <v>#REF!</v>
      </c>
      <c r="J68" s="225" t="str">
        <f t="shared" si="66"/>
        <v>#REF!</v>
      </c>
    </row>
    <row r="69" ht="15.75" customHeight="1">
      <c r="A69" s="36"/>
      <c r="B69" s="221" t="str">
        <f t="shared" si="62"/>
        <v>#REF!</v>
      </c>
      <c r="C69" s="196">
        <v>3.0</v>
      </c>
      <c r="D69" s="222" t="str">
        <f t="shared" ref="D69:E69" si="74">#REF!</f>
        <v>#REF!</v>
      </c>
      <c r="E69" s="223" t="str">
        <f t="shared" si="74"/>
        <v>#REF!</v>
      </c>
      <c r="F69" s="196" t="str">
        <f t="shared" si="64"/>
        <v>#REF!</v>
      </c>
      <c r="G69" s="224" t="str">
        <f>IF($B$1="CZ03",VLOOKUP($A$1&amp;CECCZ&amp;$G$2&amp;CompressorOnly&amp;$C69,CZ03CycleOnOff,7,0),IF($B$1="CZ04",VLOOKUP($A$1&amp;CECCZ&amp;$G$2&amp;CompressorOnly&amp;$C69,CZ04CycleOnOff,7,0),IF(CECCZ="CZ12",VLOOKUP($A$1&amp;CECCZ&amp;$G$2&amp;CompressorOnly&amp;$C69,CZ12CycleOnOff,7,0),IF(CECCZ="CZ13",VLOOKUP($A$1&amp;CECCZ&amp;$G$2&amp;CompressorOnly&amp;$C69,CZ13CycleOnOff,7,0)))))</f>
        <v>#NAME?</v>
      </c>
      <c r="H69" s="224" t="str">
        <f>IF(CECCZ="CZ03",VLOOKUP($A$1&amp;CECCZ&amp;$G$2&amp;CompressorOnly&amp;$C69,CZ03CycleOnOff,8,0),IF(CECCZ="CZ04",VLOOKUP($A$1&amp;CECCZ&amp;$G$2&amp;CompressorOnly&amp;$C69,CZ04CycleOnOff,8,0),IF(CECCZ="CZ12",VLOOKUP($A$1&amp;CECCZ&amp;$G$2&amp;CompressorOnly&amp;$C69,CZ12CycleOnOff,8,0),IF(CECCZ="CZ13",VLOOKUP($A$1&amp;CECCZ&amp;$G$2&amp;CompressorOnly&amp;$C69,CZ13CycleOnOff,8,0)))))</f>
        <v>#NAME?</v>
      </c>
      <c r="I69" s="224" t="str">
        <f t="shared" si="65"/>
        <v>#REF!</v>
      </c>
      <c r="J69" s="225" t="str">
        <f t="shared" si="66"/>
        <v>#REF!</v>
      </c>
    </row>
    <row r="70" ht="15.75" customHeight="1">
      <c r="A70" s="36"/>
      <c r="B70" s="221" t="str">
        <f t="shared" si="62"/>
        <v>#REF!</v>
      </c>
      <c r="C70" s="196">
        <v>3.0</v>
      </c>
      <c r="D70" s="222" t="str">
        <f t="shared" ref="D70:E70" si="75">#REF!</f>
        <v>#REF!</v>
      </c>
      <c r="E70" s="223" t="str">
        <f t="shared" si="75"/>
        <v>#REF!</v>
      </c>
      <c r="F70" s="196" t="str">
        <f t="shared" si="64"/>
        <v>#REF!</v>
      </c>
      <c r="G70" s="224" t="str">
        <f>IF($B$1="CZ03",VLOOKUP($A$1&amp;CECCZ&amp;$G$2&amp;CompressorOnly&amp;$C70,CZ03CycleOnOff,7,0),IF($B$1="CZ04",VLOOKUP($A$1&amp;CECCZ&amp;$G$2&amp;CompressorOnly&amp;$C70,CZ04CycleOnOff,7,0),IF(CECCZ="CZ12",VLOOKUP($A$1&amp;CECCZ&amp;$G$2&amp;CompressorOnly&amp;$C70,CZ12CycleOnOff,7,0),IF(CECCZ="CZ13",VLOOKUP($A$1&amp;CECCZ&amp;$G$2&amp;CompressorOnly&amp;$C70,CZ13CycleOnOff,7,0)))))</f>
        <v>#NAME?</v>
      </c>
      <c r="H70" s="224" t="str">
        <f>IF(CECCZ="CZ03",VLOOKUP($A$1&amp;CECCZ&amp;$G$2&amp;CompressorOnly&amp;$C70,CZ03CycleOnOff,8,0),IF(CECCZ="CZ04",VLOOKUP($A$1&amp;CECCZ&amp;$G$2&amp;CompressorOnly&amp;$C70,CZ04CycleOnOff,8,0),IF(CECCZ="CZ12",VLOOKUP($A$1&amp;CECCZ&amp;$G$2&amp;CompressorOnly&amp;$C70,CZ12CycleOnOff,8,0),IF(CECCZ="CZ13",VLOOKUP($A$1&amp;CECCZ&amp;$G$2&amp;CompressorOnly&amp;$C70,CZ13CycleOnOff,8,0)))))</f>
        <v>#NAME?</v>
      </c>
      <c r="I70" s="224" t="str">
        <f t="shared" si="65"/>
        <v>#REF!</v>
      </c>
      <c r="J70" s="225" t="str">
        <f t="shared" si="66"/>
        <v>#REF!</v>
      </c>
    </row>
    <row r="71" ht="15.75" customHeight="1">
      <c r="A71" s="36"/>
      <c r="B71" s="221" t="str">
        <f t="shared" si="62"/>
        <v>#REF!</v>
      </c>
      <c r="C71" s="196">
        <v>3.0</v>
      </c>
      <c r="D71" s="222" t="str">
        <f t="shared" ref="D71:E71" si="76">#REF!</f>
        <v>#REF!</v>
      </c>
      <c r="E71" s="223" t="str">
        <f t="shared" si="76"/>
        <v>#REF!</v>
      </c>
      <c r="F71" s="196" t="str">
        <f t="shared" si="64"/>
        <v>#REF!</v>
      </c>
      <c r="G71" s="224" t="str">
        <f>IF($B$1="CZ03",VLOOKUP($A$1&amp;CECCZ&amp;$G$2&amp;CompressorOnly&amp;$C71,CZ03CycleOnOff,7,0),IF($B$1="CZ04",VLOOKUP($A$1&amp;CECCZ&amp;$G$2&amp;CompressorOnly&amp;$C71,CZ04CycleOnOff,7,0),IF(CECCZ="CZ12",VLOOKUP($A$1&amp;CECCZ&amp;$G$2&amp;CompressorOnly&amp;$C71,CZ12CycleOnOff,7,0),IF(CECCZ="CZ13",VLOOKUP($A$1&amp;CECCZ&amp;$G$2&amp;CompressorOnly&amp;$C71,CZ13CycleOnOff,7,0)))))</f>
        <v>#NAME?</v>
      </c>
      <c r="H71" s="224" t="str">
        <f>IF(CECCZ="CZ03",VLOOKUP($A$1&amp;CECCZ&amp;$G$2&amp;CompressorOnly&amp;$C71,CZ03CycleOnOff,8,0),IF(CECCZ="CZ04",VLOOKUP($A$1&amp;CECCZ&amp;$G$2&amp;CompressorOnly&amp;$C71,CZ04CycleOnOff,8,0),IF(CECCZ="CZ12",VLOOKUP($A$1&amp;CECCZ&amp;$G$2&amp;CompressorOnly&amp;$C71,CZ12CycleOnOff,8,0),IF(CECCZ="CZ13",VLOOKUP($A$1&amp;CECCZ&amp;$G$2&amp;CompressorOnly&amp;$C71,CZ13CycleOnOff,8,0)))))</f>
        <v>#NAME?</v>
      </c>
      <c r="I71" s="224" t="str">
        <f t="shared" si="65"/>
        <v>#REF!</v>
      </c>
      <c r="J71" s="225" t="str">
        <f t="shared" si="66"/>
        <v>#REF!</v>
      </c>
    </row>
    <row r="72" ht="15.75" customHeight="1">
      <c r="A72" s="36"/>
      <c r="B72" s="221" t="str">
        <f t="shared" si="62"/>
        <v>#REF!</v>
      </c>
      <c r="C72" s="196">
        <v>4.0</v>
      </c>
      <c r="D72" s="222" t="str">
        <f t="shared" ref="D72:E72" si="77">#REF!</f>
        <v>#REF!</v>
      </c>
      <c r="E72" s="223" t="str">
        <f t="shared" si="77"/>
        <v>#REF!</v>
      </c>
      <c r="F72" s="196" t="str">
        <f t="shared" si="64"/>
        <v>#REF!</v>
      </c>
      <c r="G72" s="224" t="str">
        <f>IF($B$1="CZ03",VLOOKUP($A$1&amp;CECCZ&amp;$G$2&amp;CompressorOnly&amp;$C72,CZ03CycleOnOff,7,0),IF($B$1="CZ04",VLOOKUP($A$1&amp;CECCZ&amp;$G$2&amp;CompressorOnly&amp;$C72,CZ04CycleOnOff,7,0),IF(CECCZ="CZ12",VLOOKUP($A$1&amp;CECCZ&amp;$G$2&amp;CompressorOnly&amp;$C72,CZ12CycleOnOff,7,0),IF(CECCZ="CZ13",VLOOKUP($A$1&amp;CECCZ&amp;$G$2&amp;CompressorOnly&amp;$C72,CZ13CycleOnOff,7,0)))))</f>
        <v>#NAME?</v>
      </c>
      <c r="H72" s="224" t="str">
        <f>IF(CECCZ="CZ03",VLOOKUP($A$1&amp;CECCZ&amp;$G$2&amp;CompressorOnly&amp;$C72,CZ03CycleOnOff,8,0),IF(CECCZ="CZ04",VLOOKUP($A$1&amp;CECCZ&amp;$G$2&amp;CompressorOnly&amp;$C72,CZ04CycleOnOff,8,0),IF(CECCZ="CZ12",VLOOKUP($A$1&amp;CECCZ&amp;$G$2&amp;CompressorOnly&amp;$C72,CZ12CycleOnOff,8,0),IF(CECCZ="CZ13",VLOOKUP($A$1&amp;CECCZ&amp;$G$2&amp;CompressorOnly&amp;$C72,CZ13CycleOnOff,8,0)))))</f>
        <v>#NAME?</v>
      </c>
      <c r="I72" s="224" t="str">
        <f t="shared" si="65"/>
        <v>#REF!</v>
      </c>
      <c r="J72" s="225" t="str">
        <f t="shared" si="66"/>
        <v>#REF!</v>
      </c>
    </row>
    <row r="73" ht="15.75" customHeight="1">
      <c r="A73" s="36"/>
      <c r="B73" s="221" t="str">
        <f t="shared" si="62"/>
        <v>#REF!</v>
      </c>
      <c r="C73" s="196">
        <v>4.0</v>
      </c>
      <c r="D73" s="222" t="str">
        <f t="shared" ref="D73:E73" si="78">#REF!</f>
        <v>#REF!</v>
      </c>
      <c r="E73" s="223" t="str">
        <f t="shared" si="78"/>
        <v>#REF!</v>
      </c>
      <c r="F73" s="196" t="str">
        <f t="shared" si="64"/>
        <v>#REF!</v>
      </c>
      <c r="G73" s="224" t="str">
        <f>IF($B$1="CZ03",VLOOKUP($A$1&amp;CECCZ&amp;$G$2&amp;CompressorOnly&amp;$C73,CZ03CycleOnOff,7,0),IF($B$1="CZ04",VLOOKUP($A$1&amp;CECCZ&amp;$G$2&amp;CompressorOnly&amp;$C73,CZ04CycleOnOff,7,0),IF(CECCZ="CZ12",VLOOKUP($A$1&amp;CECCZ&amp;$G$2&amp;CompressorOnly&amp;$C73,CZ12CycleOnOff,7,0),IF(CECCZ="CZ13",VLOOKUP($A$1&amp;CECCZ&amp;$G$2&amp;CompressorOnly&amp;$C73,CZ13CycleOnOff,7,0)))))</f>
        <v>#NAME?</v>
      </c>
      <c r="H73" s="224" t="str">
        <f>IF(CECCZ="CZ03",VLOOKUP($A$1&amp;CECCZ&amp;$G$2&amp;CompressorOnly&amp;$C73,CZ03CycleOnOff,8,0),IF(CECCZ="CZ04",VLOOKUP($A$1&amp;CECCZ&amp;$G$2&amp;CompressorOnly&amp;$C73,CZ04CycleOnOff,8,0),IF(CECCZ="CZ12",VLOOKUP($A$1&amp;CECCZ&amp;$G$2&amp;CompressorOnly&amp;$C73,CZ12CycleOnOff,8,0),IF(CECCZ="CZ13",VLOOKUP($A$1&amp;CECCZ&amp;$G$2&amp;CompressorOnly&amp;$C73,CZ13CycleOnOff,8,0)))))</f>
        <v>#NAME?</v>
      </c>
      <c r="I73" s="224" t="str">
        <f t="shared" si="65"/>
        <v>#REF!</v>
      </c>
      <c r="J73" s="225" t="str">
        <f t="shared" si="66"/>
        <v>#REF!</v>
      </c>
    </row>
    <row r="74" ht="15.75" customHeight="1">
      <c r="A74" s="36"/>
      <c r="B74" s="221" t="str">
        <f t="shared" si="62"/>
        <v>#REF!</v>
      </c>
      <c r="C74" s="196">
        <v>4.0</v>
      </c>
      <c r="D74" s="222" t="str">
        <f t="shared" ref="D74:E74" si="79">#REF!</f>
        <v>#REF!</v>
      </c>
      <c r="E74" s="223" t="str">
        <f t="shared" si="79"/>
        <v>#REF!</v>
      </c>
      <c r="F74" s="196" t="str">
        <f t="shared" si="64"/>
        <v>#REF!</v>
      </c>
      <c r="G74" s="224" t="str">
        <f>IF($B$1="CZ03",VLOOKUP($A$1&amp;CECCZ&amp;$G$2&amp;CompressorOnly&amp;$C74,CZ03CycleOnOff,7,0),IF($B$1="CZ04",VLOOKUP($A$1&amp;CECCZ&amp;$G$2&amp;CompressorOnly&amp;$C74,CZ04CycleOnOff,7,0),IF(CECCZ="CZ12",VLOOKUP($A$1&amp;CECCZ&amp;$G$2&amp;CompressorOnly&amp;$C74,CZ12CycleOnOff,7,0),IF(CECCZ="CZ13",VLOOKUP($A$1&amp;CECCZ&amp;$G$2&amp;CompressorOnly&amp;$C74,CZ13CycleOnOff,7,0)))))</f>
        <v>#NAME?</v>
      </c>
      <c r="H74" s="224" t="str">
        <f>IF(CECCZ="CZ03",VLOOKUP($A$1&amp;CECCZ&amp;$G$2&amp;CompressorOnly&amp;$C74,CZ03CycleOnOff,8,0),IF(CECCZ="CZ04",VLOOKUP($A$1&amp;CECCZ&amp;$G$2&amp;CompressorOnly&amp;$C74,CZ04CycleOnOff,8,0),IF(CECCZ="CZ12",VLOOKUP($A$1&amp;CECCZ&amp;$G$2&amp;CompressorOnly&amp;$C74,CZ12CycleOnOff,8,0),IF(CECCZ="CZ13",VLOOKUP($A$1&amp;CECCZ&amp;$G$2&amp;CompressorOnly&amp;$C74,CZ13CycleOnOff,8,0)))))</f>
        <v>#NAME?</v>
      </c>
      <c r="I74" s="224" t="str">
        <f t="shared" si="65"/>
        <v>#REF!</v>
      </c>
      <c r="J74" s="225" t="str">
        <f t="shared" si="66"/>
        <v>#REF!</v>
      </c>
    </row>
    <row r="75" ht="15.75" customHeight="1">
      <c r="A75" s="36"/>
      <c r="B75" s="221" t="str">
        <f t="shared" si="62"/>
        <v>#REF!</v>
      </c>
      <c r="C75" s="196">
        <v>4.0</v>
      </c>
      <c r="D75" s="222" t="str">
        <f t="shared" ref="D75:E75" si="80">#REF!</f>
        <v>#REF!</v>
      </c>
      <c r="E75" s="223" t="str">
        <f t="shared" si="80"/>
        <v>#REF!</v>
      </c>
      <c r="F75" s="196" t="str">
        <f t="shared" si="64"/>
        <v>#REF!</v>
      </c>
      <c r="G75" s="224" t="str">
        <f>IF($B$1="CZ03",VLOOKUP($A$1&amp;CECCZ&amp;$G$2&amp;CompressorOnly&amp;$C75,CZ03CycleOnOff,7,0),IF($B$1="CZ04",VLOOKUP($A$1&amp;CECCZ&amp;$G$2&amp;CompressorOnly&amp;$C75,CZ04CycleOnOff,7,0),IF(CECCZ="CZ12",VLOOKUP($A$1&amp;CECCZ&amp;$G$2&amp;CompressorOnly&amp;$C75,CZ12CycleOnOff,7,0),IF(CECCZ="CZ13",VLOOKUP($A$1&amp;CECCZ&amp;$G$2&amp;CompressorOnly&amp;$C75,CZ13CycleOnOff,7,0)))))</f>
        <v>#NAME?</v>
      </c>
      <c r="H75" s="224" t="str">
        <f>IF(CECCZ="CZ03",VLOOKUP($A$1&amp;CECCZ&amp;$G$2&amp;CompressorOnly&amp;$C75,CZ03CycleOnOff,8,0),IF(CECCZ="CZ04",VLOOKUP($A$1&amp;CECCZ&amp;$G$2&amp;CompressorOnly&amp;$C75,CZ04CycleOnOff,8,0),IF(CECCZ="CZ12",VLOOKUP($A$1&amp;CECCZ&amp;$G$2&amp;CompressorOnly&amp;$C75,CZ12CycleOnOff,8,0),IF(CECCZ="CZ13",VLOOKUP($A$1&amp;CECCZ&amp;$G$2&amp;CompressorOnly&amp;$C75,CZ13CycleOnOff,8,0)))))</f>
        <v>#NAME?</v>
      </c>
      <c r="I75" s="224" t="str">
        <f t="shared" si="65"/>
        <v>#REF!</v>
      </c>
      <c r="J75" s="225" t="str">
        <f t="shared" si="66"/>
        <v>#REF!</v>
      </c>
    </row>
    <row r="76" ht="15.75" customHeight="1">
      <c r="A76" s="36"/>
      <c r="J76" s="51"/>
    </row>
    <row r="77" ht="15.75" customHeight="1">
      <c r="A77" s="36"/>
      <c r="B77" s="218"/>
      <c r="C77" s="218"/>
      <c r="D77" s="226"/>
      <c r="E77" s="218"/>
      <c r="F77" s="218"/>
      <c r="G77" s="203" t="s">
        <v>205</v>
      </c>
      <c r="H77" s="203" t="str">
        <f>CompressorOnly</f>
        <v>#NAME?</v>
      </c>
      <c r="I77" s="218"/>
      <c r="J77" s="220"/>
    </row>
    <row r="78" ht="15.75" customHeight="1">
      <c r="A78" s="36"/>
      <c r="B78" s="218" t="s">
        <v>230</v>
      </c>
      <c r="C78" s="218" t="s">
        <v>231</v>
      </c>
      <c r="D78" s="218" t="s">
        <v>232</v>
      </c>
      <c r="E78" s="218" t="s">
        <v>233</v>
      </c>
      <c r="F78" s="218" t="s">
        <v>234</v>
      </c>
      <c r="G78" s="218" t="s">
        <v>207</v>
      </c>
      <c r="H78" s="219" t="str">
        <f>DutyCycleMinutes</f>
        <v>#NAME?</v>
      </c>
      <c r="I78" s="218" t="s">
        <v>235</v>
      </c>
      <c r="J78" s="220" t="s">
        <v>236</v>
      </c>
    </row>
    <row r="79" ht="15.75" customHeight="1">
      <c r="A79" s="36"/>
      <c r="B79" s="221" t="str">
        <f t="shared" ref="B79:B94" si="82">#REF!</f>
        <v>#REF!</v>
      </c>
      <c r="C79" s="196">
        <v>1.0</v>
      </c>
      <c r="D79" s="222" t="str">
        <f t="shared" ref="D79:E79" si="81">#REF!</f>
        <v>#REF!</v>
      </c>
      <c r="E79" s="223" t="str">
        <f t="shared" si="81"/>
        <v>#REF!</v>
      </c>
      <c r="F79" s="196" t="str">
        <f t="shared" ref="F79:F94" si="84">IF(E79&lt;75,1,IF(AND(E79&gt;=75, E79&lt;95),2,IF(E79&gt;=95,3)))</f>
        <v>#REF!</v>
      </c>
      <c r="G79" s="224" t="str">
        <f>IF($B$1="CZ03",VLOOKUP($A$1&amp;CECCZ&amp;$G$2&amp;CompressorOnly&amp;$C79,CZ03CycleOnOff,7,0),IF($B$1="CZ04",VLOOKUP($A$1&amp;CECCZ&amp;$G$2&amp;CompressorOnly&amp;$C79,CZ04CycleOnOff,7,0),IF(CECCZ="CZ12",VLOOKUP($A$1&amp;CECCZ&amp;$G$2&amp;CompressorOnly&amp;$C79,CZ12CycleOnOff,7,0),IF(CECCZ="CZ13",VLOOKUP($A$1&amp;CECCZ&amp;$G$2&amp;CompressorOnly&amp;$C79,CZ13CycleOnOff,7,0)))))</f>
        <v>#NAME?</v>
      </c>
      <c r="H79" s="224" t="str">
        <f>IF(CECCZ="CZ03",VLOOKUP($A$1&amp;CECCZ&amp;$G$2&amp;CompressorOnly&amp;$C79,CZ03CycleOnOff,8,0),IF(CECCZ="CZ04",VLOOKUP($A$1&amp;CECCZ&amp;$G$2&amp;CompressorOnly&amp;$C79,CZ04CycleOnOff,8,0),IF(CECCZ="CZ12",VLOOKUP($A$1&amp;CECCZ&amp;$G$2&amp;CompressorOnly&amp;$C79,CZ12CycleOnOff,8,0),IF(CECCZ="CZ13",VLOOKUP($A$1&amp;CECCZ&amp;$G$2&amp;CompressorOnly&amp;$C79,CZ13CycleOnOff,8,0)))))</f>
        <v>#NAME?</v>
      </c>
      <c r="I79" s="224" t="str">
        <f t="shared" ref="I79:I94" si="85">(E79*G79+H79)/100*DutyCycleMinutes/60</f>
        <v>#REF!</v>
      </c>
      <c r="J79" s="225" t="str">
        <f t="shared" ref="J79:J94" si="86">I79*D79</f>
        <v>#REF!</v>
      </c>
    </row>
    <row r="80" ht="15.75" customHeight="1">
      <c r="A80" s="36"/>
      <c r="B80" s="221" t="str">
        <f t="shared" si="82"/>
        <v>#REF!</v>
      </c>
      <c r="C80" s="196">
        <v>1.0</v>
      </c>
      <c r="D80" s="222" t="str">
        <f t="shared" ref="D80:E80" si="83">#REF!</f>
        <v>#REF!</v>
      </c>
      <c r="E80" s="223" t="str">
        <f t="shared" si="83"/>
        <v>#REF!</v>
      </c>
      <c r="F80" s="196" t="str">
        <f t="shared" si="84"/>
        <v>#REF!</v>
      </c>
      <c r="G80" s="224" t="str">
        <f>IF($B$1="CZ03",VLOOKUP($A$1&amp;CECCZ&amp;$G$2&amp;CompressorOnly&amp;$C80,CZ03CycleOnOff,7,0),IF($B$1="CZ04",VLOOKUP($A$1&amp;CECCZ&amp;$G$2&amp;CompressorOnly&amp;$C80,CZ04CycleOnOff,7,0),IF(CECCZ="CZ12",VLOOKUP($A$1&amp;CECCZ&amp;$G$2&amp;CompressorOnly&amp;$C80,CZ12CycleOnOff,7,0),IF(CECCZ="CZ13",VLOOKUP($A$1&amp;CECCZ&amp;$G$2&amp;CompressorOnly&amp;$C80,CZ13CycleOnOff,7,0)))))</f>
        <v>#NAME?</v>
      </c>
      <c r="H80" s="224" t="str">
        <f>IF(CECCZ="CZ03",VLOOKUP($A$1&amp;CECCZ&amp;$G$2&amp;CompressorOnly&amp;$C80,CZ03CycleOnOff,8,0),IF(CECCZ="CZ04",VLOOKUP($A$1&amp;CECCZ&amp;$G$2&amp;CompressorOnly&amp;$C80,CZ04CycleOnOff,8,0),IF(CECCZ="CZ12",VLOOKUP($A$1&amp;CECCZ&amp;$G$2&amp;CompressorOnly&amp;$C80,CZ12CycleOnOff,8,0),IF(CECCZ="CZ13",VLOOKUP($A$1&amp;CECCZ&amp;$G$2&amp;CompressorOnly&amp;$C80,CZ13CycleOnOff,8,0)))))</f>
        <v>#NAME?</v>
      </c>
      <c r="I80" s="224" t="str">
        <f t="shared" si="85"/>
        <v>#REF!</v>
      </c>
      <c r="J80" s="225" t="str">
        <f t="shared" si="86"/>
        <v>#REF!</v>
      </c>
    </row>
    <row r="81" ht="15.75" customHeight="1">
      <c r="A81" s="36"/>
      <c r="B81" s="221" t="str">
        <f t="shared" si="82"/>
        <v>#REF!</v>
      </c>
      <c r="C81" s="196">
        <v>1.0</v>
      </c>
      <c r="D81" s="222" t="str">
        <f t="shared" ref="D81:E81" si="87">#REF!</f>
        <v>#REF!</v>
      </c>
      <c r="E81" s="223" t="str">
        <f t="shared" si="87"/>
        <v>#REF!</v>
      </c>
      <c r="F81" s="196" t="str">
        <f t="shared" si="84"/>
        <v>#REF!</v>
      </c>
      <c r="G81" s="224" t="str">
        <f>IF($B$1="CZ03",VLOOKUP($A$1&amp;CECCZ&amp;$G$2&amp;CompressorOnly&amp;$C81,CZ03CycleOnOff,7,0),IF($B$1="CZ04",VLOOKUP($A$1&amp;CECCZ&amp;$G$2&amp;CompressorOnly&amp;$C81,CZ04CycleOnOff,7,0),IF(CECCZ="CZ12",VLOOKUP($A$1&amp;CECCZ&amp;$G$2&amp;CompressorOnly&amp;$C81,CZ12CycleOnOff,7,0),IF(CECCZ="CZ13",VLOOKUP($A$1&amp;CECCZ&amp;$G$2&amp;CompressorOnly&amp;$C81,CZ13CycleOnOff,7,0)))))</f>
        <v>#NAME?</v>
      </c>
      <c r="H81" s="224" t="str">
        <f>IF(CECCZ="CZ03",VLOOKUP($A$1&amp;CECCZ&amp;$G$2&amp;CompressorOnly&amp;$C81,CZ03CycleOnOff,8,0),IF(CECCZ="CZ04",VLOOKUP($A$1&amp;CECCZ&amp;$G$2&amp;CompressorOnly&amp;$C81,CZ04CycleOnOff,8,0),IF(CECCZ="CZ12",VLOOKUP($A$1&amp;CECCZ&amp;$G$2&amp;CompressorOnly&amp;$C81,CZ12CycleOnOff,8,0),IF(CECCZ="CZ13",VLOOKUP($A$1&amp;CECCZ&amp;$G$2&amp;CompressorOnly&amp;$C81,CZ13CycleOnOff,8,0)))))</f>
        <v>#NAME?</v>
      </c>
      <c r="I81" s="224" t="str">
        <f t="shared" si="85"/>
        <v>#REF!</v>
      </c>
      <c r="J81" s="225" t="str">
        <f t="shared" si="86"/>
        <v>#REF!</v>
      </c>
    </row>
    <row r="82" ht="15.75" customHeight="1">
      <c r="A82" s="36"/>
      <c r="B82" s="221" t="str">
        <f t="shared" si="82"/>
        <v>#REF!</v>
      </c>
      <c r="C82" s="196">
        <v>1.0</v>
      </c>
      <c r="D82" s="222" t="str">
        <f t="shared" ref="D82:E82" si="88">#REF!</f>
        <v>#REF!</v>
      </c>
      <c r="E82" s="223" t="str">
        <f t="shared" si="88"/>
        <v>#REF!</v>
      </c>
      <c r="F82" s="196" t="str">
        <f t="shared" si="84"/>
        <v>#REF!</v>
      </c>
      <c r="G82" s="224" t="str">
        <f>IF($B$1="CZ03",VLOOKUP($A$1&amp;CECCZ&amp;$G$2&amp;CompressorOnly&amp;$C82,CZ03CycleOnOff,7,0),IF($B$1="CZ04",VLOOKUP($A$1&amp;CECCZ&amp;$G$2&amp;CompressorOnly&amp;$C82,CZ04CycleOnOff,7,0),IF(CECCZ="CZ12",VLOOKUP($A$1&amp;CECCZ&amp;$G$2&amp;CompressorOnly&amp;$C82,CZ12CycleOnOff,7,0),IF(CECCZ="CZ13",VLOOKUP($A$1&amp;CECCZ&amp;$G$2&amp;CompressorOnly&amp;$C82,CZ13CycleOnOff,7,0)))))</f>
        <v>#NAME?</v>
      </c>
      <c r="H82" s="224" t="str">
        <f>IF(CECCZ="CZ03",VLOOKUP($A$1&amp;CECCZ&amp;$G$2&amp;CompressorOnly&amp;$C82,CZ03CycleOnOff,8,0),IF(CECCZ="CZ04",VLOOKUP($A$1&amp;CECCZ&amp;$G$2&amp;CompressorOnly&amp;$C82,CZ04CycleOnOff,8,0),IF(CECCZ="CZ12",VLOOKUP($A$1&amp;CECCZ&amp;$G$2&amp;CompressorOnly&amp;$C82,CZ12CycleOnOff,8,0),IF(CECCZ="CZ13",VLOOKUP($A$1&amp;CECCZ&amp;$G$2&amp;CompressorOnly&amp;$C82,CZ13CycleOnOff,8,0)))))</f>
        <v>#NAME?</v>
      </c>
      <c r="I82" s="224" t="str">
        <f t="shared" si="85"/>
        <v>#REF!</v>
      </c>
      <c r="J82" s="225" t="str">
        <f t="shared" si="86"/>
        <v>#REF!</v>
      </c>
    </row>
    <row r="83" ht="15.75" customHeight="1">
      <c r="A83" s="36"/>
      <c r="B83" s="221" t="str">
        <f t="shared" si="82"/>
        <v>#REF!</v>
      </c>
      <c r="C83" s="196">
        <v>2.0</v>
      </c>
      <c r="D83" s="222" t="str">
        <f t="shared" ref="D83:E83" si="89">#REF!</f>
        <v>#REF!</v>
      </c>
      <c r="E83" s="223" t="str">
        <f t="shared" si="89"/>
        <v>#REF!</v>
      </c>
      <c r="F83" s="196" t="str">
        <f t="shared" si="84"/>
        <v>#REF!</v>
      </c>
      <c r="G83" s="224" t="str">
        <f>IF($B$1="CZ03",VLOOKUP($A$1&amp;CECCZ&amp;$G$2&amp;CompressorOnly&amp;$C83,CZ03CycleOnOff,7,0),IF($B$1="CZ04",VLOOKUP($A$1&amp;CECCZ&amp;$G$2&amp;CompressorOnly&amp;$C83,CZ04CycleOnOff,7,0),IF(CECCZ="CZ12",VLOOKUP($A$1&amp;CECCZ&amp;$G$2&amp;CompressorOnly&amp;$C83,CZ12CycleOnOff,7,0),IF(CECCZ="CZ13",VLOOKUP($A$1&amp;CECCZ&amp;$G$2&amp;CompressorOnly&amp;$C83,CZ13CycleOnOff,7,0)))))</f>
        <v>#NAME?</v>
      </c>
      <c r="H83" s="224" t="str">
        <f>IF(CECCZ="CZ03",VLOOKUP($A$1&amp;CECCZ&amp;$G$2&amp;CompressorOnly&amp;$C83,CZ03CycleOnOff,8,0),IF(CECCZ="CZ04",VLOOKUP($A$1&amp;CECCZ&amp;$G$2&amp;CompressorOnly&amp;$C83,CZ04CycleOnOff,8,0),IF(CECCZ="CZ12",VLOOKUP($A$1&amp;CECCZ&amp;$G$2&amp;CompressorOnly&amp;$C83,CZ12CycleOnOff,8,0),IF(CECCZ="CZ13",VLOOKUP($A$1&amp;CECCZ&amp;$G$2&amp;CompressorOnly&amp;$C83,CZ13CycleOnOff,8,0)))))</f>
        <v>#NAME?</v>
      </c>
      <c r="I83" s="224" t="str">
        <f t="shared" si="85"/>
        <v>#REF!</v>
      </c>
      <c r="J83" s="225" t="str">
        <f t="shared" si="86"/>
        <v>#REF!</v>
      </c>
    </row>
    <row r="84" ht="15.75" customHeight="1">
      <c r="A84" s="36"/>
      <c r="B84" s="221" t="str">
        <f t="shared" si="82"/>
        <v>#REF!</v>
      </c>
      <c r="C84" s="196">
        <v>2.0</v>
      </c>
      <c r="D84" s="222" t="str">
        <f t="shared" ref="D84:E84" si="90">#REF!</f>
        <v>#REF!</v>
      </c>
      <c r="E84" s="223" t="str">
        <f t="shared" si="90"/>
        <v>#REF!</v>
      </c>
      <c r="F84" s="196" t="str">
        <f t="shared" si="84"/>
        <v>#REF!</v>
      </c>
      <c r="G84" s="224" t="str">
        <f>IF($B$1="CZ03",VLOOKUP($A$1&amp;CECCZ&amp;$G$2&amp;CompressorOnly&amp;$C84,CZ03CycleOnOff,7,0),IF($B$1="CZ04",VLOOKUP($A$1&amp;CECCZ&amp;$G$2&amp;CompressorOnly&amp;$C84,CZ04CycleOnOff,7,0),IF(CECCZ="CZ12",VLOOKUP($A$1&amp;CECCZ&amp;$G$2&amp;CompressorOnly&amp;$C84,CZ12CycleOnOff,7,0),IF(CECCZ="CZ13",VLOOKUP($A$1&amp;CECCZ&amp;$G$2&amp;CompressorOnly&amp;$C84,CZ13CycleOnOff,7,0)))))</f>
        <v>#NAME?</v>
      </c>
      <c r="H84" s="224" t="str">
        <f>IF(CECCZ="CZ03",VLOOKUP($A$1&amp;CECCZ&amp;$G$2&amp;CompressorOnly&amp;$C84,CZ03CycleOnOff,8,0),IF(CECCZ="CZ04",VLOOKUP($A$1&amp;CECCZ&amp;$G$2&amp;CompressorOnly&amp;$C84,CZ04CycleOnOff,8,0),IF(CECCZ="CZ12",VLOOKUP($A$1&amp;CECCZ&amp;$G$2&amp;CompressorOnly&amp;$C84,CZ12CycleOnOff,8,0),IF(CECCZ="CZ13",VLOOKUP($A$1&amp;CECCZ&amp;$G$2&amp;CompressorOnly&amp;$C84,CZ13CycleOnOff,8,0)))))</f>
        <v>#NAME?</v>
      </c>
      <c r="I84" s="224" t="str">
        <f t="shared" si="85"/>
        <v>#REF!</v>
      </c>
      <c r="J84" s="225" t="str">
        <f t="shared" si="86"/>
        <v>#REF!</v>
      </c>
    </row>
    <row r="85" ht="15.75" customHeight="1">
      <c r="A85" s="36"/>
      <c r="B85" s="221" t="str">
        <f t="shared" si="82"/>
        <v>#REF!</v>
      </c>
      <c r="C85" s="196">
        <v>2.0</v>
      </c>
      <c r="D85" s="222" t="str">
        <f t="shared" ref="D85:E85" si="91">#REF!</f>
        <v>#REF!</v>
      </c>
      <c r="E85" s="223" t="str">
        <f t="shared" si="91"/>
        <v>#REF!</v>
      </c>
      <c r="F85" s="196" t="str">
        <f t="shared" si="84"/>
        <v>#REF!</v>
      </c>
      <c r="G85" s="224" t="str">
        <f>IF($B$1="CZ03",VLOOKUP($A$1&amp;CECCZ&amp;$G$2&amp;CompressorOnly&amp;$C85,CZ03CycleOnOff,7,0),IF($B$1="CZ04",VLOOKUP($A$1&amp;CECCZ&amp;$G$2&amp;CompressorOnly&amp;$C85,CZ04CycleOnOff,7,0),IF(CECCZ="CZ12",VLOOKUP($A$1&amp;CECCZ&amp;$G$2&amp;CompressorOnly&amp;$C85,CZ12CycleOnOff,7,0),IF(CECCZ="CZ13",VLOOKUP($A$1&amp;CECCZ&amp;$G$2&amp;CompressorOnly&amp;$C85,CZ13CycleOnOff,7,0)))))</f>
        <v>#NAME?</v>
      </c>
      <c r="H85" s="224" t="str">
        <f>IF(CECCZ="CZ03",VLOOKUP($A$1&amp;CECCZ&amp;$G$2&amp;CompressorOnly&amp;$C85,CZ03CycleOnOff,8,0),IF(CECCZ="CZ04",VLOOKUP($A$1&amp;CECCZ&amp;$G$2&amp;CompressorOnly&amp;$C85,CZ04CycleOnOff,8,0),IF(CECCZ="CZ12",VLOOKUP($A$1&amp;CECCZ&amp;$G$2&amp;CompressorOnly&amp;$C85,CZ12CycleOnOff,8,0),IF(CECCZ="CZ13",VLOOKUP($A$1&amp;CECCZ&amp;$G$2&amp;CompressorOnly&amp;$C85,CZ13CycleOnOff,8,0)))))</f>
        <v>#NAME?</v>
      </c>
      <c r="I85" s="224" t="str">
        <f t="shared" si="85"/>
        <v>#REF!</v>
      </c>
      <c r="J85" s="225" t="str">
        <f t="shared" si="86"/>
        <v>#REF!</v>
      </c>
    </row>
    <row r="86" ht="15.75" customHeight="1">
      <c r="A86" s="36"/>
      <c r="B86" s="221" t="str">
        <f t="shared" si="82"/>
        <v>#REF!</v>
      </c>
      <c r="C86" s="196">
        <v>2.0</v>
      </c>
      <c r="D86" s="222" t="str">
        <f t="shared" ref="D86:E86" si="92">#REF!</f>
        <v>#REF!</v>
      </c>
      <c r="E86" s="223" t="str">
        <f t="shared" si="92"/>
        <v>#REF!</v>
      </c>
      <c r="F86" s="196" t="str">
        <f t="shared" si="84"/>
        <v>#REF!</v>
      </c>
      <c r="G86" s="224" t="str">
        <f>IF($B$1="CZ03",VLOOKUP($A$1&amp;CECCZ&amp;$G$2&amp;CompressorOnly&amp;$C86,CZ03CycleOnOff,7,0),IF($B$1="CZ04",VLOOKUP($A$1&amp;CECCZ&amp;$G$2&amp;CompressorOnly&amp;$C86,CZ04CycleOnOff,7,0),IF(CECCZ="CZ12",VLOOKUP($A$1&amp;CECCZ&amp;$G$2&amp;CompressorOnly&amp;$C86,CZ12CycleOnOff,7,0),IF(CECCZ="CZ13",VLOOKUP($A$1&amp;CECCZ&amp;$G$2&amp;CompressorOnly&amp;$C86,CZ13CycleOnOff,7,0)))))</f>
        <v>#NAME?</v>
      </c>
      <c r="H86" s="224" t="str">
        <f>IF(CECCZ="CZ03",VLOOKUP($A$1&amp;CECCZ&amp;$G$2&amp;CompressorOnly&amp;$C86,CZ03CycleOnOff,8,0),IF(CECCZ="CZ04",VLOOKUP($A$1&amp;CECCZ&amp;$G$2&amp;CompressorOnly&amp;$C86,CZ04CycleOnOff,8,0),IF(CECCZ="CZ12",VLOOKUP($A$1&amp;CECCZ&amp;$G$2&amp;CompressorOnly&amp;$C86,CZ12CycleOnOff,8,0),IF(CECCZ="CZ13",VLOOKUP($A$1&amp;CECCZ&amp;$G$2&amp;CompressorOnly&amp;$C86,CZ13CycleOnOff,8,0)))))</f>
        <v>#NAME?</v>
      </c>
      <c r="I86" s="224" t="str">
        <f t="shared" si="85"/>
        <v>#REF!</v>
      </c>
      <c r="J86" s="225" t="str">
        <f t="shared" si="86"/>
        <v>#REF!</v>
      </c>
    </row>
    <row r="87" ht="15.75" customHeight="1">
      <c r="A87" s="36"/>
      <c r="B87" s="221" t="str">
        <f t="shared" si="82"/>
        <v>#REF!</v>
      </c>
      <c r="C87" s="196">
        <v>3.0</v>
      </c>
      <c r="D87" s="222" t="str">
        <f t="shared" ref="D87:E87" si="93">#REF!</f>
        <v>#REF!</v>
      </c>
      <c r="E87" s="223" t="str">
        <f t="shared" si="93"/>
        <v>#REF!</v>
      </c>
      <c r="F87" s="196" t="str">
        <f t="shared" si="84"/>
        <v>#REF!</v>
      </c>
      <c r="G87" s="224" t="str">
        <f>IF($B$1="CZ03",VLOOKUP($A$1&amp;CECCZ&amp;$G$2&amp;CompressorOnly&amp;$C87,CZ03CycleOnOff,7,0),IF($B$1="CZ04",VLOOKUP($A$1&amp;CECCZ&amp;$G$2&amp;CompressorOnly&amp;$C87,CZ04CycleOnOff,7,0),IF(CECCZ="CZ12",VLOOKUP($A$1&amp;CECCZ&amp;$G$2&amp;CompressorOnly&amp;$C87,CZ12CycleOnOff,7,0),IF(CECCZ="CZ13",VLOOKUP($A$1&amp;CECCZ&amp;$G$2&amp;CompressorOnly&amp;$C87,CZ13CycleOnOff,7,0)))))</f>
        <v>#NAME?</v>
      </c>
      <c r="H87" s="224" t="str">
        <f>IF(CECCZ="CZ03",VLOOKUP($A$1&amp;CECCZ&amp;$G$2&amp;CompressorOnly&amp;$C87,CZ03CycleOnOff,8,0),IF(CECCZ="CZ04",VLOOKUP($A$1&amp;CECCZ&amp;$G$2&amp;CompressorOnly&amp;$C87,CZ04CycleOnOff,8,0),IF(CECCZ="CZ12",VLOOKUP($A$1&amp;CECCZ&amp;$G$2&amp;CompressorOnly&amp;$C87,CZ12CycleOnOff,8,0),IF(CECCZ="CZ13",VLOOKUP($A$1&amp;CECCZ&amp;$G$2&amp;CompressorOnly&amp;$C87,CZ13CycleOnOff,8,0)))))</f>
        <v>#NAME?</v>
      </c>
      <c r="I87" s="224" t="str">
        <f t="shared" si="85"/>
        <v>#REF!</v>
      </c>
      <c r="J87" s="225" t="str">
        <f t="shared" si="86"/>
        <v>#REF!</v>
      </c>
    </row>
    <row r="88" ht="15.75" customHeight="1">
      <c r="A88" s="36"/>
      <c r="B88" s="221" t="str">
        <f t="shared" si="82"/>
        <v>#REF!</v>
      </c>
      <c r="C88" s="196">
        <v>3.0</v>
      </c>
      <c r="D88" s="222" t="str">
        <f t="shared" ref="D88:E88" si="94">#REF!</f>
        <v>#REF!</v>
      </c>
      <c r="E88" s="223" t="str">
        <f t="shared" si="94"/>
        <v>#REF!</v>
      </c>
      <c r="F88" s="196" t="str">
        <f t="shared" si="84"/>
        <v>#REF!</v>
      </c>
      <c r="G88" s="224" t="str">
        <f>IF($B$1="CZ03",VLOOKUP($A$1&amp;CECCZ&amp;$G$2&amp;CompressorOnly&amp;$C88,CZ03CycleOnOff,7,0),IF($B$1="CZ04",VLOOKUP($A$1&amp;CECCZ&amp;$G$2&amp;CompressorOnly&amp;$C88,CZ04CycleOnOff,7,0),IF(CECCZ="CZ12",VLOOKUP($A$1&amp;CECCZ&amp;$G$2&amp;CompressorOnly&amp;$C88,CZ12CycleOnOff,7,0),IF(CECCZ="CZ13",VLOOKUP($A$1&amp;CECCZ&amp;$G$2&amp;CompressorOnly&amp;$C88,CZ13CycleOnOff,7,0)))))</f>
        <v>#NAME?</v>
      </c>
      <c r="H88" s="224" t="str">
        <f>IF(CECCZ="CZ03",VLOOKUP($A$1&amp;CECCZ&amp;$G$2&amp;CompressorOnly&amp;$C88,CZ03CycleOnOff,8,0),IF(CECCZ="CZ04",VLOOKUP($A$1&amp;CECCZ&amp;$G$2&amp;CompressorOnly&amp;$C88,CZ04CycleOnOff,8,0),IF(CECCZ="CZ12",VLOOKUP($A$1&amp;CECCZ&amp;$G$2&amp;CompressorOnly&amp;$C88,CZ12CycleOnOff,8,0),IF(CECCZ="CZ13",VLOOKUP($A$1&amp;CECCZ&amp;$G$2&amp;CompressorOnly&amp;$C88,CZ13CycleOnOff,8,0)))))</f>
        <v>#NAME?</v>
      </c>
      <c r="I88" s="224" t="str">
        <f t="shared" si="85"/>
        <v>#REF!</v>
      </c>
      <c r="J88" s="225" t="str">
        <f t="shared" si="86"/>
        <v>#REF!</v>
      </c>
    </row>
    <row r="89" ht="15.75" customHeight="1">
      <c r="A89" s="36"/>
      <c r="B89" s="221" t="str">
        <f t="shared" si="82"/>
        <v>#REF!</v>
      </c>
      <c r="C89" s="196">
        <v>3.0</v>
      </c>
      <c r="D89" s="222" t="str">
        <f t="shared" ref="D89:E89" si="95">#REF!</f>
        <v>#REF!</v>
      </c>
      <c r="E89" s="223" t="str">
        <f t="shared" si="95"/>
        <v>#REF!</v>
      </c>
      <c r="F89" s="196" t="str">
        <f t="shared" si="84"/>
        <v>#REF!</v>
      </c>
      <c r="G89" s="224" t="str">
        <f>IF($B$1="CZ03",VLOOKUP($A$1&amp;CECCZ&amp;$G$2&amp;CompressorOnly&amp;$C89,CZ03CycleOnOff,7,0),IF($B$1="CZ04",VLOOKUP($A$1&amp;CECCZ&amp;$G$2&amp;CompressorOnly&amp;$C89,CZ04CycleOnOff,7,0),IF(CECCZ="CZ12",VLOOKUP($A$1&amp;CECCZ&amp;$G$2&amp;CompressorOnly&amp;$C89,CZ12CycleOnOff,7,0),IF(CECCZ="CZ13",VLOOKUP($A$1&amp;CECCZ&amp;$G$2&amp;CompressorOnly&amp;$C89,CZ13CycleOnOff,7,0)))))</f>
        <v>#NAME?</v>
      </c>
      <c r="H89" s="224" t="str">
        <f>IF(CECCZ="CZ03",VLOOKUP($A$1&amp;CECCZ&amp;$G$2&amp;CompressorOnly&amp;$C89,CZ03CycleOnOff,8,0),IF(CECCZ="CZ04",VLOOKUP($A$1&amp;CECCZ&amp;$G$2&amp;CompressorOnly&amp;$C89,CZ04CycleOnOff,8,0),IF(CECCZ="CZ12",VLOOKUP($A$1&amp;CECCZ&amp;$G$2&amp;CompressorOnly&amp;$C89,CZ12CycleOnOff,8,0),IF(CECCZ="CZ13",VLOOKUP($A$1&amp;CECCZ&amp;$G$2&amp;CompressorOnly&amp;$C89,CZ13CycleOnOff,8,0)))))</f>
        <v>#NAME?</v>
      </c>
      <c r="I89" s="224" t="str">
        <f t="shared" si="85"/>
        <v>#REF!</v>
      </c>
      <c r="J89" s="225" t="str">
        <f t="shared" si="86"/>
        <v>#REF!</v>
      </c>
    </row>
    <row r="90" ht="15.75" customHeight="1">
      <c r="A90" s="36"/>
      <c r="B90" s="221" t="str">
        <f t="shared" si="82"/>
        <v>#REF!</v>
      </c>
      <c r="C90" s="196">
        <v>3.0</v>
      </c>
      <c r="D90" s="222" t="str">
        <f t="shared" ref="D90:E90" si="96">#REF!</f>
        <v>#REF!</v>
      </c>
      <c r="E90" s="223" t="str">
        <f t="shared" si="96"/>
        <v>#REF!</v>
      </c>
      <c r="F90" s="196" t="str">
        <f t="shared" si="84"/>
        <v>#REF!</v>
      </c>
      <c r="G90" s="224" t="str">
        <f>IF($B$1="CZ03",VLOOKUP($A$1&amp;CECCZ&amp;$G$2&amp;CompressorOnly&amp;$C90,CZ03CycleOnOff,7,0),IF($B$1="CZ04",VLOOKUP($A$1&amp;CECCZ&amp;$G$2&amp;CompressorOnly&amp;$C90,CZ04CycleOnOff,7,0),IF(CECCZ="CZ12",VLOOKUP($A$1&amp;CECCZ&amp;$G$2&amp;CompressorOnly&amp;$C90,CZ12CycleOnOff,7,0),IF(CECCZ="CZ13",VLOOKUP($A$1&amp;CECCZ&amp;$G$2&amp;CompressorOnly&amp;$C90,CZ13CycleOnOff,7,0)))))</f>
        <v>#NAME?</v>
      </c>
      <c r="H90" s="224" t="str">
        <f>IF(CECCZ="CZ03",VLOOKUP($A$1&amp;CECCZ&amp;$G$2&amp;CompressorOnly&amp;$C90,CZ03CycleOnOff,8,0),IF(CECCZ="CZ04",VLOOKUP($A$1&amp;CECCZ&amp;$G$2&amp;CompressorOnly&amp;$C90,CZ04CycleOnOff,8,0),IF(CECCZ="CZ12",VLOOKUP($A$1&amp;CECCZ&amp;$G$2&amp;CompressorOnly&amp;$C90,CZ12CycleOnOff,8,0),IF(CECCZ="CZ13",VLOOKUP($A$1&amp;CECCZ&amp;$G$2&amp;CompressorOnly&amp;$C90,CZ13CycleOnOff,8,0)))))</f>
        <v>#NAME?</v>
      </c>
      <c r="I90" s="224" t="str">
        <f t="shared" si="85"/>
        <v>#REF!</v>
      </c>
      <c r="J90" s="225" t="str">
        <f t="shared" si="86"/>
        <v>#REF!</v>
      </c>
    </row>
    <row r="91" ht="15.75" customHeight="1">
      <c r="A91" s="36"/>
      <c r="B91" s="221" t="str">
        <f t="shared" si="82"/>
        <v>#REF!</v>
      </c>
      <c r="C91" s="196">
        <v>4.0</v>
      </c>
      <c r="D91" s="222" t="str">
        <f t="shared" ref="D91:E91" si="97">#REF!</f>
        <v>#REF!</v>
      </c>
      <c r="E91" s="223" t="str">
        <f t="shared" si="97"/>
        <v>#REF!</v>
      </c>
      <c r="F91" s="196" t="str">
        <f t="shared" si="84"/>
        <v>#REF!</v>
      </c>
      <c r="G91" s="224" t="str">
        <f>IF($B$1="CZ03",VLOOKUP($A$1&amp;CECCZ&amp;$G$2&amp;CompressorOnly&amp;$C91,CZ03CycleOnOff,7,0),IF($B$1="CZ04",VLOOKUP($A$1&amp;CECCZ&amp;$G$2&amp;CompressorOnly&amp;$C91,CZ04CycleOnOff,7,0),IF(CECCZ="CZ12",VLOOKUP($A$1&amp;CECCZ&amp;$G$2&amp;CompressorOnly&amp;$C91,CZ12CycleOnOff,7,0),IF(CECCZ="CZ13",VLOOKUP($A$1&amp;CECCZ&amp;$G$2&amp;CompressorOnly&amp;$C91,CZ13CycleOnOff,7,0)))))</f>
        <v>#NAME?</v>
      </c>
      <c r="H91" s="224" t="str">
        <f>IF(CECCZ="CZ03",VLOOKUP($A$1&amp;CECCZ&amp;$G$2&amp;CompressorOnly&amp;$C91,CZ03CycleOnOff,8,0),IF(CECCZ="CZ04",VLOOKUP($A$1&amp;CECCZ&amp;$G$2&amp;CompressorOnly&amp;$C91,CZ04CycleOnOff,8,0),IF(CECCZ="CZ12",VLOOKUP($A$1&amp;CECCZ&amp;$G$2&amp;CompressorOnly&amp;$C91,CZ12CycleOnOff,8,0),IF(CECCZ="CZ13",VLOOKUP($A$1&amp;CECCZ&amp;$G$2&amp;CompressorOnly&amp;$C91,CZ13CycleOnOff,8,0)))))</f>
        <v>#NAME?</v>
      </c>
      <c r="I91" s="224" t="str">
        <f t="shared" si="85"/>
        <v>#REF!</v>
      </c>
      <c r="J91" s="225" t="str">
        <f t="shared" si="86"/>
        <v>#REF!</v>
      </c>
    </row>
    <row r="92" ht="15.75" customHeight="1">
      <c r="A92" s="36"/>
      <c r="B92" s="221" t="str">
        <f t="shared" si="82"/>
        <v>#REF!</v>
      </c>
      <c r="C92" s="196">
        <v>4.0</v>
      </c>
      <c r="D92" s="222" t="str">
        <f t="shared" ref="D92:E92" si="98">#REF!</f>
        <v>#REF!</v>
      </c>
      <c r="E92" s="223" t="str">
        <f t="shared" si="98"/>
        <v>#REF!</v>
      </c>
      <c r="F92" s="196" t="str">
        <f t="shared" si="84"/>
        <v>#REF!</v>
      </c>
      <c r="G92" s="224" t="str">
        <f>IF($B$1="CZ03",VLOOKUP($A$1&amp;CECCZ&amp;$G$2&amp;CompressorOnly&amp;$C92,CZ03CycleOnOff,7,0),IF($B$1="CZ04",VLOOKUP($A$1&amp;CECCZ&amp;$G$2&amp;CompressorOnly&amp;$C92,CZ04CycleOnOff,7,0),IF(CECCZ="CZ12",VLOOKUP($A$1&amp;CECCZ&amp;$G$2&amp;CompressorOnly&amp;$C92,CZ12CycleOnOff,7,0),IF(CECCZ="CZ13",VLOOKUP($A$1&amp;CECCZ&amp;$G$2&amp;CompressorOnly&amp;$C92,CZ13CycleOnOff,7,0)))))</f>
        <v>#NAME?</v>
      </c>
      <c r="H92" s="224" t="str">
        <f>IF(CECCZ="CZ03",VLOOKUP($A$1&amp;CECCZ&amp;$G$2&amp;CompressorOnly&amp;$C92,CZ03CycleOnOff,8,0),IF(CECCZ="CZ04",VLOOKUP($A$1&amp;CECCZ&amp;$G$2&amp;CompressorOnly&amp;$C92,CZ04CycleOnOff,8,0),IF(CECCZ="CZ12",VLOOKUP($A$1&amp;CECCZ&amp;$G$2&amp;CompressorOnly&amp;$C92,CZ12CycleOnOff,8,0),IF(CECCZ="CZ13",VLOOKUP($A$1&amp;CECCZ&amp;$G$2&amp;CompressorOnly&amp;$C92,CZ13CycleOnOff,8,0)))))</f>
        <v>#NAME?</v>
      </c>
      <c r="I92" s="224" t="str">
        <f t="shared" si="85"/>
        <v>#REF!</v>
      </c>
      <c r="J92" s="225" t="str">
        <f t="shared" si="86"/>
        <v>#REF!</v>
      </c>
    </row>
    <row r="93" ht="15.75" customHeight="1">
      <c r="A93" s="36"/>
      <c r="B93" s="221" t="str">
        <f t="shared" si="82"/>
        <v>#REF!</v>
      </c>
      <c r="C93" s="196">
        <v>4.0</v>
      </c>
      <c r="D93" s="222" t="str">
        <f t="shared" ref="D93:E93" si="99">#REF!</f>
        <v>#REF!</v>
      </c>
      <c r="E93" s="223" t="str">
        <f t="shared" si="99"/>
        <v>#REF!</v>
      </c>
      <c r="F93" s="196" t="str">
        <f t="shared" si="84"/>
        <v>#REF!</v>
      </c>
      <c r="G93" s="224" t="str">
        <f>IF($B$1="CZ03",VLOOKUP($A$1&amp;CECCZ&amp;$G$2&amp;CompressorOnly&amp;$C93,CZ03CycleOnOff,7,0),IF($B$1="CZ04",VLOOKUP($A$1&amp;CECCZ&amp;$G$2&amp;CompressorOnly&amp;$C93,CZ04CycleOnOff,7,0),IF(CECCZ="CZ12",VLOOKUP($A$1&amp;CECCZ&amp;$G$2&amp;CompressorOnly&amp;$C93,CZ12CycleOnOff,7,0),IF(CECCZ="CZ13",VLOOKUP($A$1&amp;CECCZ&amp;$G$2&amp;CompressorOnly&amp;$C93,CZ13CycleOnOff,7,0)))))</f>
        <v>#NAME?</v>
      </c>
      <c r="H93" s="224" t="str">
        <f>IF(CECCZ="CZ03",VLOOKUP($A$1&amp;CECCZ&amp;$G$2&amp;CompressorOnly&amp;$C93,CZ03CycleOnOff,8,0),IF(CECCZ="CZ04",VLOOKUP($A$1&amp;CECCZ&amp;$G$2&amp;CompressorOnly&amp;$C93,CZ04CycleOnOff,8,0),IF(CECCZ="CZ12",VLOOKUP($A$1&amp;CECCZ&amp;$G$2&amp;CompressorOnly&amp;$C93,CZ12CycleOnOff,8,0),IF(CECCZ="CZ13",VLOOKUP($A$1&amp;CECCZ&amp;$G$2&amp;CompressorOnly&amp;$C93,CZ13CycleOnOff,8,0)))))</f>
        <v>#NAME?</v>
      </c>
      <c r="I93" s="224" t="str">
        <f t="shared" si="85"/>
        <v>#REF!</v>
      </c>
      <c r="J93" s="225" t="str">
        <f t="shared" si="86"/>
        <v>#REF!</v>
      </c>
    </row>
    <row r="94" ht="15.75" customHeight="1">
      <c r="A94" s="36"/>
      <c r="B94" s="221" t="str">
        <f t="shared" si="82"/>
        <v>#REF!</v>
      </c>
      <c r="C94" s="196">
        <v>4.0</v>
      </c>
      <c r="D94" s="222" t="str">
        <f t="shared" ref="D94:E94" si="100">#REF!</f>
        <v>#REF!</v>
      </c>
      <c r="E94" s="223" t="str">
        <f t="shared" si="100"/>
        <v>#REF!</v>
      </c>
      <c r="F94" s="196" t="str">
        <f t="shared" si="84"/>
        <v>#REF!</v>
      </c>
      <c r="G94" s="224" t="str">
        <f>IF($B$1="CZ03",VLOOKUP($A$1&amp;CECCZ&amp;$G$2&amp;CompressorOnly&amp;$C94,CZ03CycleOnOff,7,0),IF($B$1="CZ04",VLOOKUP($A$1&amp;CECCZ&amp;$G$2&amp;CompressorOnly&amp;$C94,CZ04CycleOnOff,7,0),IF(CECCZ="CZ12",VLOOKUP($A$1&amp;CECCZ&amp;$G$2&amp;CompressorOnly&amp;$C94,CZ12CycleOnOff,7,0),IF(CECCZ="CZ13",VLOOKUP($A$1&amp;CECCZ&amp;$G$2&amp;CompressorOnly&amp;$C94,CZ13CycleOnOff,7,0)))))</f>
        <v>#NAME?</v>
      </c>
      <c r="H94" s="224" t="str">
        <f>IF(CECCZ="CZ03",VLOOKUP($A$1&amp;CECCZ&amp;$G$2&amp;CompressorOnly&amp;$C94,CZ03CycleOnOff,8,0),IF(CECCZ="CZ04",VLOOKUP($A$1&amp;CECCZ&amp;$G$2&amp;CompressorOnly&amp;$C94,CZ04CycleOnOff,8,0),IF(CECCZ="CZ12",VLOOKUP($A$1&amp;CECCZ&amp;$G$2&amp;CompressorOnly&amp;$C94,CZ12CycleOnOff,8,0),IF(CECCZ="CZ13",VLOOKUP($A$1&amp;CECCZ&amp;$G$2&amp;CompressorOnly&amp;$C94,CZ13CycleOnOff,8,0)))))</f>
        <v>#NAME?</v>
      </c>
      <c r="I94" s="224" t="str">
        <f t="shared" si="85"/>
        <v>#REF!</v>
      </c>
      <c r="J94" s="225" t="str">
        <f t="shared" si="86"/>
        <v>#REF!</v>
      </c>
    </row>
    <row r="95" ht="15.75" customHeight="1">
      <c r="A95" s="36"/>
      <c r="J95" s="51"/>
    </row>
    <row r="96" ht="15.75" customHeight="1">
      <c r="A96" s="36"/>
      <c r="B96" s="218"/>
      <c r="C96" s="218"/>
      <c r="D96" s="226"/>
      <c r="E96" s="218"/>
      <c r="F96" s="218"/>
      <c r="G96" s="203" t="s">
        <v>205</v>
      </c>
      <c r="H96" s="203" t="str">
        <f>CompressorOnly</f>
        <v>#NAME?</v>
      </c>
      <c r="I96" s="218"/>
      <c r="J96" s="220"/>
    </row>
    <row r="97" ht="15.75" customHeight="1">
      <c r="A97" s="36"/>
      <c r="B97" s="218" t="s">
        <v>230</v>
      </c>
      <c r="C97" s="218" t="s">
        <v>231</v>
      </c>
      <c r="D97" s="218" t="s">
        <v>232</v>
      </c>
      <c r="E97" s="218" t="s">
        <v>233</v>
      </c>
      <c r="F97" s="218" t="s">
        <v>234</v>
      </c>
      <c r="G97" s="218" t="s">
        <v>207</v>
      </c>
      <c r="H97" s="219" t="str">
        <f>DutyCycleMinutes</f>
        <v>#NAME?</v>
      </c>
      <c r="I97" s="218" t="s">
        <v>235</v>
      </c>
      <c r="J97" s="220" t="s">
        <v>236</v>
      </c>
    </row>
    <row r="98" ht="15.75" customHeight="1">
      <c r="A98" s="36"/>
      <c r="B98" s="221" t="str">
        <f t="shared" ref="B98:B113" si="102">#REF!</f>
        <v>#REF!</v>
      </c>
      <c r="C98" s="196">
        <v>1.0</v>
      </c>
      <c r="D98" s="222" t="str">
        <f t="shared" ref="D98:E98" si="101">#REF!</f>
        <v>#REF!</v>
      </c>
      <c r="E98" s="223" t="str">
        <f t="shared" si="101"/>
        <v>#REF!</v>
      </c>
      <c r="F98" s="196" t="str">
        <f t="shared" ref="F98:F113" si="104">IF(E98&lt;75,1,IF(AND(E98&gt;=75, E98&lt;95),2,IF(E98&gt;=95,3)))</f>
        <v>#REF!</v>
      </c>
      <c r="G98" s="224" t="str">
        <f>IF($B$1="CZ03",VLOOKUP($A$1&amp;CECCZ&amp;$G$2&amp;CompressorOnly&amp;$C98,CZ03CycleOnOff,7,0),IF($B$1="CZ04",VLOOKUP($A$1&amp;CECCZ&amp;$G$2&amp;CompressorOnly&amp;$C98,CZ04CycleOnOff,7,0),IF(CECCZ="CZ12",VLOOKUP($A$1&amp;CECCZ&amp;$G$2&amp;CompressorOnly&amp;$C98,CZ12CycleOnOff,7,0),IF(CECCZ="CZ13",VLOOKUP($A$1&amp;CECCZ&amp;$G$2&amp;CompressorOnly&amp;$C98,CZ13CycleOnOff,7,0)))))</f>
        <v>#NAME?</v>
      </c>
      <c r="H98" s="224" t="str">
        <f>IF(CECCZ="CZ03",VLOOKUP($A$1&amp;CECCZ&amp;$G$2&amp;CompressorOnly&amp;$C98,CZ03CycleOnOff,8,0),IF(CECCZ="CZ04",VLOOKUP($A$1&amp;CECCZ&amp;$G$2&amp;CompressorOnly&amp;$C98,CZ04CycleOnOff,8,0),IF(CECCZ="CZ12",VLOOKUP($A$1&amp;CECCZ&amp;$G$2&amp;CompressorOnly&amp;$C98,CZ12CycleOnOff,8,0),IF(CECCZ="CZ13",VLOOKUP($A$1&amp;CECCZ&amp;$G$2&amp;CompressorOnly&amp;$C98,CZ13CycleOnOff,8,0)))))</f>
        <v>#NAME?</v>
      </c>
      <c r="I98" s="224" t="str">
        <f t="shared" ref="I98:I113" si="105">(E98*G98+H98)/100*DutyCycleMinutes/60</f>
        <v>#REF!</v>
      </c>
      <c r="J98" s="225" t="str">
        <f t="shared" ref="J98:J113" si="106">I98*D98</f>
        <v>#REF!</v>
      </c>
    </row>
    <row r="99" ht="15.75" customHeight="1">
      <c r="A99" s="36"/>
      <c r="B99" s="221" t="str">
        <f t="shared" si="102"/>
        <v>#REF!</v>
      </c>
      <c r="C99" s="196">
        <v>1.0</v>
      </c>
      <c r="D99" s="222" t="str">
        <f t="shared" ref="D99:E99" si="103">#REF!</f>
        <v>#REF!</v>
      </c>
      <c r="E99" s="223" t="str">
        <f t="shared" si="103"/>
        <v>#REF!</v>
      </c>
      <c r="F99" s="196" t="str">
        <f t="shared" si="104"/>
        <v>#REF!</v>
      </c>
      <c r="G99" s="224" t="str">
        <f>IF($B$1="CZ03",VLOOKUP($A$1&amp;CECCZ&amp;$G$2&amp;CompressorOnly&amp;$C99,CZ03CycleOnOff,7,0),IF($B$1="CZ04",VLOOKUP($A$1&amp;CECCZ&amp;$G$2&amp;CompressorOnly&amp;$C99,CZ04CycleOnOff,7,0),IF(CECCZ="CZ12",VLOOKUP($A$1&amp;CECCZ&amp;$G$2&amp;CompressorOnly&amp;$C99,CZ12CycleOnOff,7,0),IF(CECCZ="CZ13",VLOOKUP($A$1&amp;CECCZ&amp;$G$2&amp;CompressorOnly&amp;$C99,CZ13CycleOnOff,7,0)))))</f>
        <v>#NAME?</v>
      </c>
      <c r="H99" s="224" t="str">
        <f>IF(CECCZ="CZ03",VLOOKUP($A$1&amp;CECCZ&amp;$G$2&amp;CompressorOnly&amp;$C99,CZ03CycleOnOff,8,0),IF(CECCZ="CZ04",VLOOKUP($A$1&amp;CECCZ&amp;$G$2&amp;CompressorOnly&amp;$C99,CZ04CycleOnOff,8,0),IF(CECCZ="CZ12",VLOOKUP($A$1&amp;CECCZ&amp;$G$2&amp;CompressorOnly&amp;$C99,CZ12CycleOnOff,8,0),IF(CECCZ="CZ13",VLOOKUP($A$1&amp;CECCZ&amp;$G$2&amp;CompressorOnly&amp;$C99,CZ13CycleOnOff,8,0)))))</f>
        <v>#NAME?</v>
      </c>
      <c r="I99" s="224" t="str">
        <f t="shared" si="105"/>
        <v>#REF!</v>
      </c>
      <c r="J99" s="225" t="str">
        <f t="shared" si="106"/>
        <v>#REF!</v>
      </c>
    </row>
    <row r="100" ht="15.75" customHeight="1">
      <c r="A100" s="36"/>
      <c r="B100" s="221" t="str">
        <f t="shared" si="102"/>
        <v>#REF!</v>
      </c>
      <c r="C100" s="196">
        <v>1.0</v>
      </c>
      <c r="D100" s="222" t="str">
        <f t="shared" ref="D100:E100" si="107">#REF!</f>
        <v>#REF!</v>
      </c>
      <c r="E100" s="223" t="str">
        <f t="shared" si="107"/>
        <v>#REF!</v>
      </c>
      <c r="F100" s="196" t="str">
        <f t="shared" si="104"/>
        <v>#REF!</v>
      </c>
      <c r="G100" s="224" t="str">
        <f>IF($B$1="CZ03",VLOOKUP($A$1&amp;CECCZ&amp;$G$2&amp;CompressorOnly&amp;$C100,CZ03CycleOnOff,7,0),IF($B$1="CZ04",VLOOKUP($A$1&amp;CECCZ&amp;$G$2&amp;CompressorOnly&amp;$C100,CZ04CycleOnOff,7,0),IF(CECCZ="CZ12",VLOOKUP($A$1&amp;CECCZ&amp;$G$2&amp;CompressorOnly&amp;$C100,CZ12CycleOnOff,7,0),IF(CECCZ="CZ13",VLOOKUP($A$1&amp;CECCZ&amp;$G$2&amp;CompressorOnly&amp;$C100,CZ13CycleOnOff,7,0)))))</f>
        <v>#NAME?</v>
      </c>
      <c r="H100" s="224" t="str">
        <f>IF(CECCZ="CZ03",VLOOKUP($A$1&amp;CECCZ&amp;$G$2&amp;CompressorOnly&amp;$C100,CZ03CycleOnOff,8,0),IF(CECCZ="CZ04",VLOOKUP($A$1&amp;CECCZ&amp;$G$2&amp;CompressorOnly&amp;$C100,CZ04CycleOnOff,8,0),IF(CECCZ="CZ12",VLOOKUP($A$1&amp;CECCZ&amp;$G$2&amp;CompressorOnly&amp;$C100,CZ12CycleOnOff,8,0),IF(CECCZ="CZ13",VLOOKUP($A$1&amp;CECCZ&amp;$G$2&amp;CompressorOnly&amp;$C100,CZ13CycleOnOff,8,0)))))</f>
        <v>#NAME?</v>
      </c>
      <c r="I100" s="224" t="str">
        <f t="shared" si="105"/>
        <v>#REF!</v>
      </c>
      <c r="J100" s="225" t="str">
        <f t="shared" si="106"/>
        <v>#REF!</v>
      </c>
    </row>
    <row r="101" ht="15.75" customHeight="1">
      <c r="A101" s="36"/>
      <c r="B101" s="221" t="str">
        <f t="shared" si="102"/>
        <v>#REF!</v>
      </c>
      <c r="C101" s="196">
        <v>1.0</v>
      </c>
      <c r="D101" s="222" t="str">
        <f t="shared" ref="D101:E101" si="108">#REF!</f>
        <v>#REF!</v>
      </c>
      <c r="E101" s="223" t="str">
        <f t="shared" si="108"/>
        <v>#REF!</v>
      </c>
      <c r="F101" s="196" t="str">
        <f t="shared" si="104"/>
        <v>#REF!</v>
      </c>
      <c r="G101" s="224" t="str">
        <f>IF($B$1="CZ03",VLOOKUP($A$1&amp;CECCZ&amp;$G$2&amp;CompressorOnly&amp;$C101,CZ03CycleOnOff,7,0),IF($B$1="CZ04",VLOOKUP($A$1&amp;CECCZ&amp;$G$2&amp;CompressorOnly&amp;$C101,CZ04CycleOnOff,7,0),IF(CECCZ="CZ12",VLOOKUP($A$1&amp;CECCZ&amp;$G$2&amp;CompressorOnly&amp;$C101,CZ12CycleOnOff,7,0),IF(CECCZ="CZ13",VLOOKUP($A$1&amp;CECCZ&amp;$G$2&amp;CompressorOnly&amp;$C101,CZ13CycleOnOff,7,0)))))</f>
        <v>#NAME?</v>
      </c>
      <c r="H101" s="224" t="str">
        <f>IF(CECCZ="CZ03",VLOOKUP($A$1&amp;CECCZ&amp;$G$2&amp;CompressorOnly&amp;$C101,CZ03CycleOnOff,8,0),IF(CECCZ="CZ04",VLOOKUP($A$1&amp;CECCZ&amp;$G$2&amp;CompressorOnly&amp;$C101,CZ04CycleOnOff,8,0),IF(CECCZ="CZ12",VLOOKUP($A$1&amp;CECCZ&amp;$G$2&amp;CompressorOnly&amp;$C101,CZ12CycleOnOff,8,0),IF(CECCZ="CZ13",VLOOKUP($A$1&amp;CECCZ&amp;$G$2&amp;CompressorOnly&amp;$C101,CZ13CycleOnOff,8,0)))))</f>
        <v>#NAME?</v>
      </c>
      <c r="I101" s="224" t="str">
        <f t="shared" si="105"/>
        <v>#REF!</v>
      </c>
      <c r="J101" s="225" t="str">
        <f t="shared" si="106"/>
        <v>#REF!</v>
      </c>
    </row>
    <row r="102" ht="15.75" customHeight="1">
      <c r="A102" s="36"/>
      <c r="B102" s="221" t="str">
        <f t="shared" si="102"/>
        <v>#REF!</v>
      </c>
      <c r="C102" s="196">
        <v>2.0</v>
      </c>
      <c r="D102" s="222" t="str">
        <f t="shared" ref="D102:E102" si="109">#REF!</f>
        <v>#REF!</v>
      </c>
      <c r="E102" s="223" t="str">
        <f t="shared" si="109"/>
        <v>#REF!</v>
      </c>
      <c r="F102" s="196" t="str">
        <f t="shared" si="104"/>
        <v>#REF!</v>
      </c>
      <c r="G102" s="224" t="str">
        <f>IF($B$1="CZ03",VLOOKUP($A$1&amp;CECCZ&amp;$G$2&amp;CompressorOnly&amp;$C102,CZ03CycleOnOff,7,0),IF($B$1="CZ04",VLOOKUP($A$1&amp;CECCZ&amp;$G$2&amp;CompressorOnly&amp;$C102,CZ04CycleOnOff,7,0),IF(CECCZ="CZ12",VLOOKUP($A$1&amp;CECCZ&amp;$G$2&amp;CompressorOnly&amp;$C102,CZ12CycleOnOff,7,0),IF(CECCZ="CZ13",VLOOKUP($A$1&amp;CECCZ&amp;$G$2&amp;CompressorOnly&amp;$C102,CZ13CycleOnOff,7,0)))))</f>
        <v>#NAME?</v>
      </c>
      <c r="H102" s="224" t="str">
        <f>IF(CECCZ="CZ03",VLOOKUP($A$1&amp;CECCZ&amp;$G$2&amp;CompressorOnly&amp;$C102,CZ03CycleOnOff,8,0),IF(CECCZ="CZ04",VLOOKUP($A$1&amp;CECCZ&amp;$G$2&amp;CompressorOnly&amp;$C102,CZ04CycleOnOff,8,0),IF(CECCZ="CZ12",VLOOKUP($A$1&amp;CECCZ&amp;$G$2&amp;CompressorOnly&amp;$C102,CZ12CycleOnOff,8,0),IF(CECCZ="CZ13",VLOOKUP($A$1&amp;CECCZ&amp;$G$2&amp;CompressorOnly&amp;$C102,CZ13CycleOnOff,8,0)))))</f>
        <v>#NAME?</v>
      </c>
      <c r="I102" s="224" t="str">
        <f t="shared" si="105"/>
        <v>#REF!</v>
      </c>
      <c r="J102" s="225" t="str">
        <f t="shared" si="106"/>
        <v>#REF!</v>
      </c>
    </row>
    <row r="103" ht="15.75" customHeight="1">
      <c r="A103" s="36"/>
      <c r="B103" s="221" t="str">
        <f t="shared" si="102"/>
        <v>#REF!</v>
      </c>
      <c r="C103" s="196">
        <v>2.0</v>
      </c>
      <c r="D103" s="222" t="str">
        <f t="shared" ref="D103:E103" si="110">#REF!</f>
        <v>#REF!</v>
      </c>
      <c r="E103" s="223" t="str">
        <f t="shared" si="110"/>
        <v>#REF!</v>
      </c>
      <c r="F103" s="196" t="str">
        <f t="shared" si="104"/>
        <v>#REF!</v>
      </c>
      <c r="G103" s="224" t="str">
        <f>IF($B$1="CZ03",VLOOKUP($A$1&amp;CECCZ&amp;$G$2&amp;CompressorOnly&amp;$C103,CZ03CycleOnOff,7,0),IF($B$1="CZ04",VLOOKUP($A$1&amp;CECCZ&amp;$G$2&amp;CompressorOnly&amp;$C103,CZ04CycleOnOff,7,0),IF(CECCZ="CZ12",VLOOKUP($A$1&amp;CECCZ&amp;$G$2&amp;CompressorOnly&amp;$C103,CZ12CycleOnOff,7,0),IF(CECCZ="CZ13",VLOOKUP($A$1&amp;CECCZ&amp;$G$2&amp;CompressorOnly&amp;$C103,CZ13CycleOnOff,7,0)))))</f>
        <v>#NAME?</v>
      </c>
      <c r="H103" s="224" t="str">
        <f>IF(CECCZ="CZ03",VLOOKUP($A$1&amp;CECCZ&amp;$G$2&amp;CompressorOnly&amp;$C103,CZ03CycleOnOff,8,0),IF(CECCZ="CZ04",VLOOKUP($A$1&amp;CECCZ&amp;$G$2&amp;CompressorOnly&amp;$C103,CZ04CycleOnOff,8,0),IF(CECCZ="CZ12",VLOOKUP($A$1&amp;CECCZ&amp;$G$2&amp;CompressorOnly&amp;$C103,CZ12CycleOnOff,8,0),IF(CECCZ="CZ13",VLOOKUP($A$1&amp;CECCZ&amp;$G$2&amp;CompressorOnly&amp;$C103,CZ13CycleOnOff,8,0)))))</f>
        <v>#NAME?</v>
      </c>
      <c r="I103" s="224" t="str">
        <f t="shared" si="105"/>
        <v>#REF!</v>
      </c>
      <c r="J103" s="225" t="str">
        <f t="shared" si="106"/>
        <v>#REF!</v>
      </c>
    </row>
    <row r="104" ht="15.75" customHeight="1">
      <c r="A104" s="36"/>
      <c r="B104" s="221" t="str">
        <f t="shared" si="102"/>
        <v>#REF!</v>
      </c>
      <c r="C104" s="196">
        <v>2.0</v>
      </c>
      <c r="D104" s="222" t="str">
        <f t="shared" ref="D104:E104" si="111">#REF!</f>
        <v>#REF!</v>
      </c>
      <c r="E104" s="223" t="str">
        <f t="shared" si="111"/>
        <v>#REF!</v>
      </c>
      <c r="F104" s="196" t="str">
        <f t="shared" si="104"/>
        <v>#REF!</v>
      </c>
      <c r="G104" s="224" t="str">
        <f>IF($B$1="CZ03",VLOOKUP($A$1&amp;CECCZ&amp;$G$2&amp;CompressorOnly&amp;$C104,CZ03CycleOnOff,7,0),IF($B$1="CZ04",VLOOKUP($A$1&amp;CECCZ&amp;$G$2&amp;CompressorOnly&amp;$C104,CZ04CycleOnOff,7,0),IF(CECCZ="CZ12",VLOOKUP($A$1&amp;CECCZ&amp;$G$2&amp;CompressorOnly&amp;$C104,CZ12CycleOnOff,7,0),IF(CECCZ="CZ13",VLOOKUP($A$1&amp;CECCZ&amp;$G$2&amp;CompressorOnly&amp;$C104,CZ13CycleOnOff,7,0)))))</f>
        <v>#NAME?</v>
      </c>
      <c r="H104" s="224" t="str">
        <f>IF(CECCZ="CZ03",VLOOKUP($A$1&amp;CECCZ&amp;$G$2&amp;CompressorOnly&amp;$C104,CZ03CycleOnOff,8,0),IF(CECCZ="CZ04",VLOOKUP($A$1&amp;CECCZ&amp;$G$2&amp;CompressorOnly&amp;$C104,CZ04CycleOnOff,8,0),IF(CECCZ="CZ12",VLOOKUP($A$1&amp;CECCZ&amp;$G$2&amp;CompressorOnly&amp;$C104,CZ12CycleOnOff,8,0),IF(CECCZ="CZ13",VLOOKUP($A$1&amp;CECCZ&amp;$G$2&amp;CompressorOnly&amp;$C104,CZ13CycleOnOff,8,0)))))</f>
        <v>#NAME?</v>
      </c>
      <c r="I104" s="224" t="str">
        <f t="shared" si="105"/>
        <v>#REF!</v>
      </c>
      <c r="J104" s="225" t="str">
        <f t="shared" si="106"/>
        <v>#REF!</v>
      </c>
    </row>
    <row r="105" ht="15.75" customHeight="1">
      <c r="A105" s="36"/>
      <c r="B105" s="221" t="str">
        <f t="shared" si="102"/>
        <v>#REF!</v>
      </c>
      <c r="C105" s="196">
        <v>2.0</v>
      </c>
      <c r="D105" s="222" t="str">
        <f t="shared" ref="D105:E105" si="112">#REF!</f>
        <v>#REF!</v>
      </c>
      <c r="E105" s="223" t="str">
        <f t="shared" si="112"/>
        <v>#REF!</v>
      </c>
      <c r="F105" s="196" t="str">
        <f t="shared" si="104"/>
        <v>#REF!</v>
      </c>
      <c r="G105" s="224" t="str">
        <f>IF($B$1="CZ03",VLOOKUP($A$1&amp;CECCZ&amp;$G$2&amp;CompressorOnly&amp;$C105,CZ03CycleOnOff,7,0),IF($B$1="CZ04",VLOOKUP($A$1&amp;CECCZ&amp;$G$2&amp;CompressorOnly&amp;$C105,CZ04CycleOnOff,7,0),IF(CECCZ="CZ12",VLOOKUP($A$1&amp;CECCZ&amp;$G$2&amp;CompressorOnly&amp;$C105,CZ12CycleOnOff,7,0),IF(CECCZ="CZ13",VLOOKUP($A$1&amp;CECCZ&amp;$G$2&amp;CompressorOnly&amp;$C105,CZ13CycleOnOff,7,0)))))</f>
        <v>#NAME?</v>
      </c>
      <c r="H105" s="224" t="str">
        <f>IF(CECCZ="CZ03",VLOOKUP($A$1&amp;CECCZ&amp;$G$2&amp;CompressorOnly&amp;$C105,CZ03CycleOnOff,8,0),IF(CECCZ="CZ04",VLOOKUP($A$1&amp;CECCZ&amp;$G$2&amp;CompressorOnly&amp;$C105,CZ04CycleOnOff,8,0),IF(CECCZ="CZ12",VLOOKUP($A$1&amp;CECCZ&amp;$G$2&amp;CompressorOnly&amp;$C105,CZ12CycleOnOff,8,0),IF(CECCZ="CZ13",VLOOKUP($A$1&amp;CECCZ&amp;$G$2&amp;CompressorOnly&amp;$C105,CZ13CycleOnOff,8,0)))))</f>
        <v>#NAME?</v>
      </c>
      <c r="I105" s="224" t="str">
        <f t="shared" si="105"/>
        <v>#REF!</v>
      </c>
      <c r="J105" s="225" t="str">
        <f t="shared" si="106"/>
        <v>#REF!</v>
      </c>
    </row>
    <row r="106" ht="15.75" customHeight="1">
      <c r="A106" s="36"/>
      <c r="B106" s="221" t="str">
        <f t="shared" si="102"/>
        <v>#REF!</v>
      </c>
      <c r="C106" s="196">
        <v>3.0</v>
      </c>
      <c r="D106" s="222" t="str">
        <f t="shared" ref="D106:E106" si="113">#REF!</f>
        <v>#REF!</v>
      </c>
      <c r="E106" s="223" t="str">
        <f t="shared" si="113"/>
        <v>#REF!</v>
      </c>
      <c r="F106" s="196" t="str">
        <f t="shared" si="104"/>
        <v>#REF!</v>
      </c>
      <c r="G106" s="224" t="str">
        <f>IF($B$1="CZ03",VLOOKUP($A$1&amp;CECCZ&amp;$G$2&amp;CompressorOnly&amp;$C106,CZ03CycleOnOff,7,0),IF($B$1="CZ04",VLOOKUP($A$1&amp;CECCZ&amp;$G$2&amp;CompressorOnly&amp;$C106,CZ04CycleOnOff,7,0),IF(CECCZ="CZ12",VLOOKUP($A$1&amp;CECCZ&amp;$G$2&amp;CompressorOnly&amp;$C106,CZ12CycleOnOff,7,0),IF(CECCZ="CZ13",VLOOKUP($A$1&amp;CECCZ&amp;$G$2&amp;CompressorOnly&amp;$C106,CZ13CycleOnOff,7,0)))))</f>
        <v>#NAME?</v>
      </c>
      <c r="H106" s="224" t="str">
        <f>IF(CECCZ="CZ03",VLOOKUP($A$1&amp;CECCZ&amp;$G$2&amp;CompressorOnly&amp;$C106,CZ03CycleOnOff,8,0),IF(CECCZ="CZ04",VLOOKUP($A$1&amp;CECCZ&amp;$G$2&amp;CompressorOnly&amp;$C106,CZ04CycleOnOff,8,0),IF(CECCZ="CZ12",VLOOKUP($A$1&amp;CECCZ&amp;$G$2&amp;CompressorOnly&amp;$C106,CZ12CycleOnOff,8,0),IF(CECCZ="CZ13",VLOOKUP($A$1&amp;CECCZ&amp;$G$2&amp;CompressorOnly&amp;$C106,CZ13CycleOnOff,8,0)))))</f>
        <v>#NAME?</v>
      </c>
      <c r="I106" s="224" t="str">
        <f t="shared" si="105"/>
        <v>#REF!</v>
      </c>
      <c r="J106" s="225" t="str">
        <f t="shared" si="106"/>
        <v>#REF!</v>
      </c>
    </row>
    <row r="107" ht="15.75" customHeight="1">
      <c r="A107" s="36"/>
      <c r="B107" s="221" t="str">
        <f t="shared" si="102"/>
        <v>#REF!</v>
      </c>
      <c r="C107" s="196">
        <v>3.0</v>
      </c>
      <c r="D107" s="222" t="str">
        <f t="shared" ref="D107:E107" si="114">#REF!</f>
        <v>#REF!</v>
      </c>
      <c r="E107" s="223" t="str">
        <f t="shared" si="114"/>
        <v>#REF!</v>
      </c>
      <c r="F107" s="196" t="str">
        <f t="shared" si="104"/>
        <v>#REF!</v>
      </c>
      <c r="G107" s="224" t="str">
        <f>IF($B$1="CZ03",VLOOKUP($A$1&amp;CECCZ&amp;$G$2&amp;CompressorOnly&amp;$C107,CZ03CycleOnOff,7,0),IF($B$1="CZ04",VLOOKUP($A$1&amp;CECCZ&amp;$G$2&amp;CompressorOnly&amp;$C107,CZ04CycleOnOff,7,0),IF(CECCZ="CZ12",VLOOKUP($A$1&amp;CECCZ&amp;$G$2&amp;CompressorOnly&amp;$C107,CZ12CycleOnOff,7,0),IF(CECCZ="CZ13",VLOOKUP($A$1&amp;CECCZ&amp;$G$2&amp;CompressorOnly&amp;$C107,CZ13CycleOnOff,7,0)))))</f>
        <v>#NAME?</v>
      </c>
      <c r="H107" s="224" t="str">
        <f>IF(CECCZ="CZ03",VLOOKUP($A$1&amp;CECCZ&amp;$G$2&amp;CompressorOnly&amp;$C107,CZ03CycleOnOff,8,0),IF(CECCZ="CZ04",VLOOKUP($A$1&amp;CECCZ&amp;$G$2&amp;CompressorOnly&amp;$C107,CZ04CycleOnOff,8,0),IF(CECCZ="CZ12",VLOOKUP($A$1&amp;CECCZ&amp;$G$2&amp;CompressorOnly&amp;$C107,CZ12CycleOnOff,8,0),IF(CECCZ="CZ13",VLOOKUP($A$1&amp;CECCZ&amp;$G$2&amp;CompressorOnly&amp;$C107,CZ13CycleOnOff,8,0)))))</f>
        <v>#NAME?</v>
      </c>
      <c r="I107" s="224" t="str">
        <f t="shared" si="105"/>
        <v>#REF!</v>
      </c>
      <c r="J107" s="225" t="str">
        <f t="shared" si="106"/>
        <v>#REF!</v>
      </c>
    </row>
    <row r="108" ht="15.75" customHeight="1">
      <c r="A108" s="36"/>
      <c r="B108" s="221" t="str">
        <f t="shared" si="102"/>
        <v>#REF!</v>
      </c>
      <c r="C108" s="196">
        <v>3.0</v>
      </c>
      <c r="D108" s="222" t="str">
        <f t="shared" ref="D108:E108" si="115">#REF!</f>
        <v>#REF!</v>
      </c>
      <c r="E108" s="223" t="str">
        <f t="shared" si="115"/>
        <v>#REF!</v>
      </c>
      <c r="F108" s="196" t="str">
        <f t="shared" si="104"/>
        <v>#REF!</v>
      </c>
      <c r="G108" s="224" t="str">
        <f>IF($B$1="CZ03",VLOOKUP($A$1&amp;CECCZ&amp;$G$2&amp;CompressorOnly&amp;$C108,CZ03CycleOnOff,7,0),IF($B$1="CZ04",VLOOKUP($A$1&amp;CECCZ&amp;$G$2&amp;CompressorOnly&amp;$C108,CZ04CycleOnOff,7,0),IF(CECCZ="CZ12",VLOOKUP($A$1&amp;CECCZ&amp;$G$2&amp;CompressorOnly&amp;$C108,CZ12CycleOnOff,7,0),IF(CECCZ="CZ13",VLOOKUP($A$1&amp;CECCZ&amp;$G$2&amp;CompressorOnly&amp;$C108,CZ13CycleOnOff,7,0)))))</f>
        <v>#NAME?</v>
      </c>
      <c r="H108" s="224" t="str">
        <f>IF(CECCZ="CZ03",VLOOKUP($A$1&amp;CECCZ&amp;$G$2&amp;CompressorOnly&amp;$C108,CZ03CycleOnOff,8,0),IF(CECCZ="CZ04",VLOOKUP($A$1&amp;CECCZ&amp;$G$2&amp;CompressorOnly&amp;$C108,CZ04CycleOnOff,8,0),IF(CECCZ="CZ12",VLOOKUP($A$1&amp;CECCZ&amp;$G$2&amp;CompressorOnly&amp;$C108,CZ12CycleOnOff,8,0),IF(CECCZ="CZ13",VLOOKUP($A$1&amp;CECCZ&amp;$G$2&amp;CompressorOnly&amp;$C108,CZ13CycleOnOff,8,0)))))</f>
        <v>#NAME?</v>
      </c>
      <c r="I108" s="224" t="str">
        <f t="shared" si="105"/>
        <v>#REF!</v>
      </c>
      <c r="J108" s="225" t="str">
        <f t="shared" si="106"/>
        <v>#REF!</v>
      </c>
    </row>
    <row r="109" ht="15.75" customHeight="1">
      <c r="A109" s="36"/>
      <c r="B109" s="221" t="str">
        <f t="shared" si="102"/>
        <v>#REF!</v>
      </c>
      <c r="C109" s="196">
        <v>3.0</v>
      </c>
      <c r="D109" s="222" t="str">
        <f t="shared" ref="D109:E109" si="116">#REF!</f>
        <v>#REF!</v>
      </c>
      <c r="E109" s="223" t="str">
        <f t="shared" si="116"/>
        <v>#REF!</v>
      </c>
      <c r="F109" s="196" t="str">
        <f t="shared" si="104"/>
        <v>#REF!</v>
      </c>
      <c r="G109" s="224" t="str">
        <f>IF($B$1="CZ03",VLOOKUP($A$1&amp;CECCZ&amp;$G$2&amp;CompressorOnly&amp;$C109,CZ03CycleOnOff,7,0),IF($B$1="CZ04",VLOOKUP($A$1&amp;CECCZ&amp;$G$2&amp;CompressorOnly&amp;$C109,CZ04CycleOnOff,7,0),IF(CECCZ="CZ12",VLOOKUP($A$1&amp;CECCZ&amp;$G$2&amp;CompressorOnly&amp;$C109,CZ12CycleOnOff,7,0),IF(CECCZ="CZ13",VLOOKUP($A$1&amp;CECCZ&amp;$G$2&amp;CompressorOnly&amp;$C109,CZ13CycleOnOff,7,0)))))</f>
        <v>#NAME?</v>
      </c>
      <c r="H109" s="224" t="str">
        <f>IF(CECCZ="CZ03",VLOOKUP($A$1&amp;CECCZ&amp;$G$2&amp;CompressorOnly&amp;$C109,CZ03CycleOnOff,8,0),IF(CECCZ="CZ04",VLOOKUP($A$1&amp;CECCZ&amp;$G$2&amp;CompressorOnly&amp;$C109,CZ04CycleOnOff,8,0),IF(CECCZ="CZ12",VLOOKUP($A$1&amp;CECCZ&amp;$G$2&amp;CompressorOnly&amp;$C109,CZ12CycleOnOff,8,0),IF(CECCZ="CZ13",VLOOKUP($A$1&amp;CECCZ&amp;$G$2&amp;CompressorOnly&amp;$C109,CZ13CycleOnOff,8,0)))))</f>
        <v>#NAME?</v>
      </c>
      <c r="I109" s="224" t="str">
        <f t="shared" si="105"/>
        <v>#REF!</v>
      </c>
      <c r="J109" s="225" t="str">
        <f t="shared" si="106"/>
        <v>#REF!</v>
      </c>
    </row>
    <row r="110" ht="15.75" customHeight="1">
      <c r="A110" s="36"/>
      <c r="B110" s="221" t="str">
        <f t="shared" si="102"/>
        <v>#REF!</v>
      </c>
      <c r="C110" s="196">
        <v>4.0</v>
      </c>
      <c r="D110" s="222" t="str">
        <f t="shared" ref="D110:E110" si="117">#REF!</f>
        <v>#REF!</v>
      </c>
      <c r="E110" s="223" t="str">
        <f t="shared" si="117"/>
        <v>#REF!</v>
      </c>
      <c r="F110" s="196" t="str">
        <f t="shared" si="104"/>
        <v>#REF!</v>
      </c>
      <c r="G110" s="224" t="str">
        <f>IF($B$1="CZ03",VLOOKUP($A$1&amp;CECCZ&amp;$G$2&amp;CompressorOnly&amp;$C110,CZ03CycleOnOff,7,0),IF($B$1="CZ04",VLOOKUP($A$1&amp;CECCZ&amp;$G$2&amp;CompressorOnly&amp;$C110,CZ04CycleOnOff,7,0),IF(CECCZ="CZ12",VLOOKUP($A$1&amp;CECCZ&amp;$G$2&amp;CompressorOnly&amp;$C110,CZ12CycleOnOff,7,0),IF(CECCZ="CZ13",VLOOKUP($A$1&amp;CECCZ&amp;$G$2&amp;CompressorOnly&amp;$C110,CZ13CycleOnOff,7,0)))))</f>
        <v>#NAME?</v>
      </c>
      <c r="H110" s="224" t="str">
        <f>IF(CECCZ="CZ03",VLOOKUP($A$1&amp;CECCZ&amp;$G$2&amp;CompressorOnly&amp;$C110,CZ03CycleOnOff,8,0),IF(CECCZ="CZ04",VLOOKUP($A$1&amp;CECCZ&amp;$G$2&amp;CompressorOnly&amp;$C110,CZ04CycleOnOff,8,0),IF(CECCZ="CZ12",VLOOKUP($A$1&amp;CECCZ&amp;$G$2&amp;CompressorOnly&amp;$C110,CZ12CycleOnOff,8,0),IF(CECCZ="CZ13",VLOOKUP($A$1&amp;CECCZ&amp;$G$2&amp;CompressorOnly&amp;$C110,CZ13CycleOnOff,8,0)))))</f>
        <v>#NAME?</v>
      </c>
      <c r="I110" s="224" t="str">
        <f t="shared" si="105"/>
        <v>#REF!</v>
      </c>
      <c r="J110" s="225" t="str">
        <f t="shared" si="106"/>
        <v>#REF!</v>
      </c>
    </row>
    <row r="111" ht="15.75" customHeight="1">
      <c r="A111" s="36"/>
      <c r="B111" s="221" t="str">
        <f t="shared" si="102"/>
        <v>#REF!</v>
      </c>
      <c r="C111" s="196">
        <v>4.0</v>
      </c>
      <c r="D111" s="222" t="str">
        <f t="shared" ref="D111:E111" si="118">#REF!</f>
        <v>#REF!</v>
      </c>
      <c r="E111" s="223" t="str">
        <f t="shared" si="118"/>
        <v>#REF!</v>
      </c>
      <c r="F111" s="196" t="str">
        <f t="shared" si="104"/>
        <v>#REF!</v>
      </c>
      <c r="G111" s="224" t="str">
        <f>IF($B$1="CZ03",VLOOKUP($A$1&amp;CECCZ&amp;$G$2&amp;CompressorOnly&amp;$C111,CZ03CycleOnOff,7,0),IF($B$1="CZ04",VLOOKUP($A$1&amp;CECCZ&amp;$G$2&amp;CompressorOnly&amp;$C111,CZ04CycleOnOff,7,0),IF(CECCZ="CZ12",VLOOKUP($A$1&amp;CECCZ&amp;$G$2&amp;CompressorOnly&amp;$C111,CZ12CycleOnOff,7,0),IF(CECCZ="CZ13",VLOOKUP($A$1&amp;CECCZ&amp;$G$2&amp;CompressorOnly&amp;$C111,CZ13CycleOnOff,7,0)))))</f>
        <v>#NAME?</v>
      </c>
      <c r="H111" s="224" t="str">
        <f>IF(CECCZ="CZ03",VLOOKUP($A$1&amp;CECCZ&amp;$G$2&amp;CompressorOnly&amp;$C111,CZ03CycleOnOff,8,0),IF(CECCZ="CZ04",VLOOKUP($A$1&amp;CECCZ&amp;$G$2&amp;CompressorOnly&amp;$C111,CZ04CycleOnOff,8,0),IF(CECCZ="CZ12",VLOOKUP($A$1&amp;CECCZ&amp;$G$2&amp;CompressorOnly&amp;$C111,CZ12CycleOnOff,8,0),IF(CECCZ="CZ13",VLOOKUP($A$1&amp;CECCZ&amp;$G$2&amp;CompressorOnly&amp;$C111,CZ13CycleOnOff,8,0)))))</f>
        <v>#NAME?</v>
      </c>
      <c r="I111" s="224" t="str">
        <f t="shared" si="105"/>
        <v>#REF!</v>
      </c>
      <c r="J111" s="225" t="str">
        <f t="shared" si="106"/>
        <v>#REF!</v>
      </c>
    </row>
    <row r="112" ht="15.75" customHeight="1">
      <c r="A112" s="36"/>
      <c r="B112" s="221" t="str">
        <f t="shared" si="102"/>
        <v>#REF!</v>
      </c>
      <c r="C112" s="196">
        <v>4.0</v>
      </c>
      <c r="D112" s="222" t="str">
        <f t="shared" ref="D112:E112" si="119">#REF!</f>
        <v>#REF!</v>
      </c>
      <c r="E112" s="223" t="str">
        <f t="shared" si="119"/>
        <v>#REF!</v>
      </c>
      <c r="F112" s="196" t="str">
        <f t="shared" si="104"/>
        <v>#REF!</v>
      </c>
      <c r="G112" s="224" t="str">
        <f>IF($B$1="CZ03",VLOOKUP($A$1&amp;CECCZ&amp;$G$2&amp;CompressorOnly&amp;$C112,CZ03CycleOnOff,7,0),IF($B$1="CZ04",VLOOKUP($A$1&amp;CECCZ&amp;$G$2&amp;CompressorOnly&amp;$C112,CZ04CycleOnOff,7,0),IF(CECCZ="CZ12",VLOOKUP($A$1&amp;CECCZ&amp;$G$2&amp;CompressorOnly&amp;$C112,CZ12CycleOnOff,7,0),IF(CECCZ="CZ13",VLOOKUP($A$1&amp;CECCZ&amp;$G$2&amp;CompressorOnly&amp;$C112,CZ13CycleOnOff,7,0)))))</f>
        <v>#NAME?</v>
      </c>
      <c r="H112" s="224" t="str">
        <f>IF(CECCZ="CZ03",VLOOKUP($A$1&amp;CECCZ&amp;$G$2&amp;CompressorOnly&amp;$C112,CZ03CycleOnOff,8,0),IF(CECCZ="CZ04",VLOOKUP($A$1&amp;CECCZ&amp;$G$2&amp;CompressorOnly&amp;$C112,CZ04CycleOnOff,8,0),IF(CECCZ="CZ12",VLOOKUP($A$1&amp;CECCZ&amp;$G$2&amp;CompressorOnly&amp;$C112,CZ12CycleOnOff,8,0),IF(CECCZ="CZ13",VLOOKUP($A$1&amp;CECCZ&amp;$G$2&amp;CompressorOnly&amp;$C112,CZ13CycleOnOff,8,0)))))</f>
        <v>#NAME?</v>
      </c>
      <c r="I112" s="224" t="str">
        <f t="shared" si="105"/>
        <v>#REF!</v>
      </c>
      <c r="J112" s="225" t="str">
        <f t="shared" si="106"/>
        <v>#REF!</v>
      </c>
    </row>
    <row r="113" ht="15.75" customHeight="1">
      <c r="A113" s="36"/>
      <c r="B113" s="221" t="str">
        <f t="shared" si="102"/>
        <v>#REF!</v>
      </c>
      <c r="C113" s="196">
        <v>4.0</v>
      </c>
      <c r="D113" s="222" t="str">
        <f t="shared" ref="D113:E113" si="120">#REF!</f>
        <v>#REF!</v>
      </c>
      <c r="E113" s="223" t="str">
        <f t="shared" si="120"/>
        <v>#REF!</v>
      </c>
      <c r="F113" s="196" t="str">
        <f t="shared" si="104"/>
        <v>#REF!</v>
      </c>
      <c r="G113" s="224" t="str">
        <f>IF($B$1="CZ03",VLOOKUP($A$1&amp;CECCZ&amp;$G$2&amp;CompressorOnly&amp;$C113,CZ03CycleOnOff,7,0),IF($B$1="CZ04",VLOOKUP($A$1&amp;CECCZ&amp;$G$2&amp;CompressorOnly&amp;$C113,CZ04CycleOnOff,7,0),IF(CECCZ="CZ12",VLOOKUP($A$1&amp;CECCZ&amp;$G$2&amp;CompressorOnly&amp;$C113,CZ12CycleOnOff,7,0),IF(CECCZ="CZ13",VLOOKUP($A$1&amp;CECCZ&amp;$G$2&amp;CompressorOnly&amp;$C113,CZ13CycleOnOff,7,0)))))</f>
        <v>#NAME?</v>
      </c>
      <c r="H113" s="224" t="str">
        <f>IF(CECCZ="CZ03",VLOOKUP($A$1&amp;CECCZ&amp;$G$2&amp;CompressorOnly&amp;$C113,CZ03CycleOnOff,8,0),IF(CECCZ="CZ04",VLOOKUP($A$1&amp;CECCZ&amp;$G$2&amp;CompressorOnly&amp;$C113,CZ04CycleOnOff,8,0),IF(CECCZ="CZ12",VLOOKUP($A$1&amp;CECCZ&amp;$G$2&amp;CompressorOnly&amp;$C113,CZ12CycleOnOff,8,0),IF(CECCZ="CZ13",VLOOKUP($A$1&amp;CECCZ&amp;$G$2&amp;CompressorOnly&amp;$C113,CZ13CycleOnOff,8,0)))))</f>
        <v>#NAME?</v>
      </c>
      <c r="I113" s="224" t="str">
        <f t="shared" si="105"/>
        <v>#REF!</v>
      </c>
      <c r="J113" s="225" t="str">
        <f t="shared" si="106"/>
        <v>#REF!</v>
      </c>
    </row>
    <row r="114" ht="15.75" customHeight="1">
      <c r="A114" s="36"/>
      <c r="J114" s="51"/>
    </row>
    <row r="115" ht="15.75" customHeight="1">
      <c r="A115" s="36"/>
      <c r="B115" s="218"/>
      <c r="C115" s="218"/>
      <c r="D115" s="226"/>
      <c r="E115" s="218"/>
      <c r="F115" s="218"/>
      <c r="G115" s="203" t="s">
        <v>205</v>
      </c>
      <c r="H115" s="203" t="str">
        <f>CompressorOnly</f>
        <v>#NAME?</v>
      </c>
      <c r="I115" s="218"/>
      <c r="J115" s="220"/>
    </row>
    <row r="116" ht="15.75" customHeight="1">
      <c r="A116" s="36"/>
      <c r="B116" s="218" t="s">
        <v>230</v>
      </c>
      <c r="C116" s="218" t="s">
        <v>231</v>
      </c>
      <c r="D116" s="218" t="s">
        <v>232</v>
      </c>
      <c r="E116" s="218" t="s">
        <v>233</v>
      </c>
      <c r="F116" s="218" t="s">
        <v>234</v>
      </c>
      <c r="G116" s="218" t="s">
        <v>207</v>
      </c>
      <c r="H116" s="219" t="str">
        <f>DutyCycleMinutes</f>
        <v>#NAME?</v>
      </c>
      <c r="I116" s="218" t="s">
        <v>235</v>
      </c>
      <c r="J116" s="220" t="s">
        <v>236</v>
      </c>
    </row>
    <row r="117" ht="15.75" customHeight="1">
      <c r="A117" s="36"/>
      <c r="B117" s="221" t="str">
        <f t="shared" ref="B117:B132" si="122">#REF!</f>
        <v>#REF!</v>
      </c>
      <c r="C117" s="196">
        <v>1.0</v>
      </c>
      <c r="D117" s="222" t="str">
        <f t="shared" ref="D117:E117" si="121">#REF!</f>
        <v>#REF!</v>
      </c>
      <c r="E117" s="223" t="str">
        <f t="shared" si="121"/>
        <v>#REF!</v>
      </c>
      <c r="F117" s="196" t="str">
        <f t="shared" ref="F117:F132" si="124">IF(E117&lt;75,1,IF(AND(E117&gt;=75, E117&lt;95),2,IF(E117&gt;=95,3)))</f>
        <v>#REF!</v>
      </c>
      <c r="G117" s="224" t="str">
        <f>IF($B$1="CZ03",VLOOKUP($A$1&amp;CECCZ&amp;$G$2&amp;CompressorOnly&amp;$C117,CZ03CycleOnOff,7,0),IF($B$1="CZ04",VLOOKUP($A$1&amp;CECCZ&amp;$G$2&amp;CompressorOnly&amp;$C117,CZ04CycleOnOff,7,0),IF(CECCZ="CZ12",VLOOKUP($A$1&amp;CECCZ&amp;$G$2&amp;CompressorOnly&amp;$C117,CZ12CycleOnOff,7,0),IF(CECCZ="CZ13",VLOOKUP($A$1&amp;CECCZ&amp;$G$2&amp;CompressorOnly&amp;$C117,CZ13CycleOnOff,7,0)))))</f>
        <v>#NAME?</v>
      </c>
      <c r="H117" s="224" t="str">
        <f>IF(CECCZ="CZ03",VLOOKUP($A$1&amp;CECCZ&amp;$G$2&amp;CompressorOnly&amp;$C117,CZ03CycleOnOff,8,0),IF(CECCZ="CZ04",VLOOKUP($A$1&amp;CECCZ&amp;$G$2&amp;CompressorOnly&amp;$C117,CZ04CycleOnOff,8,0),IF(CECCZ="CZ12",VLOOKUP($A$1&amp;CECCZ&amp;$G$2&amp;CompressorOnly&amp;$C117,CZ12CycleOnOff,8,0),IF(CECCZ="CZ13",VLOOKUP($A$1&amp;CECCZ&amp;$G$2&amp;CompressorOnly&amp;$C117,CZ13CycleOnOff,8,0)))))</f>
        <v>#NAME?</v>
      </c>
      <c r="I117" s="224" t="str">
        <f t="shared" ref="I117:I132" si="125">(E117*G117+H117)/100*DutyCycleMinutes/60</f>
        <v>#REF!</v>
      </c>
      <c r="J117" s="225" t="str">
        <f t="shared" ref="J117:J132" si="126">I117*D117</f>
        <v>#REF!</v>
      </c>
    </row>
    <row r="118" ht="15.75" customHeight="1">
      <c r="A118" s="36"/>
      <c r="B118" s="221" t="str">
        <f t="shared" si="122"/>
        <v>#REF!</v>
      </c>
      <c r="C118" s="196">
        <v>1.0</v>
      </c>
      <c r="D118" s="222" t="str">
        <f t="shared" ref="D118:E118" si="123">#REF!</f>
        <v>#REF!</v>
      </c>
      <c r="E118" s="223" t="str">
        <f t="shared" si="123"/>
        <v>#REF!</v>
      </c>
      <c r="F118" s="196" t="str">
        <f t="shared" si="124"/>
        <v>#REF!</v>
      </c>
      <c r="G118" s="224" t="str">
        <f>IF($B$1="CZ03",VLOOKUP($A$1&amp;CECCZ&amp;$G$2&amp;CompressorOnly&amp;$C118,CZ03CycleOnOff,7,0),IF($B$1="CZ04",VLOOKUP($A$1&amp;CECCZ&amp;$G$2&amp;CompressorOnly&amp;$C118,CZ04CycleOnOff,7,0),IF(CECCZ="CZ12",VLOOKUP($A$1&amp;CECCZ&amp;$G$2&amp;CompressorOnly&amp;$C118,CZ12CycleOnOff,7,0),IF(CECCZ="CZ13",VLOOKUP($A$1&amp;CECCZ&amp;$G$2&amp;CompressorOnly&amp;$C118,CZ13CycleOnOff,7,0)))))</f>
        <v>#NAME?</v>
      </c>
      <c r="H118" s="224" t="str">
        <f>IF(CECCZ="CZ03",VLOOKUP($A$1&amp;CECCZ&amp;$G$2&amp;CompressorOnly&amp;$C118,CZ03CycleOnOff,8,0),IF(CECCZ="CZ04",VLOOKUP($A$1&amp;CECCZ&amp;$G$2&amp;CompressorOnly&amp;$C118,CZ04CycleOnOff,8,0),IF(CECCZ="CZ12",VLOOKUP($A$1&amp;CECCZ&amp;$G$2&amp;CompressorOnly&amp;$C118,CZ12CycleOnOff,8,0),IF(CECCZ="CZ13",VLOOKUP($A$1&amp;CECCZ&amp;$G$2&amp;CompressorOnly&amp;$C118,CZ13CycleOnOff,8,0)))))</f>
        <v>#NAME?</v>
      </c>
      <c r="I118" s="224" t="str">
        <f t="shared" si="125"/>
        <v>#REF!</v>
      </c>
      <c r="J118" s="225" t="str">
        <f t="shared" si="126"/>
        <v>#REF!</v>
      </c>
    </row>
    <row r="119" ht="15.75" customHeight="1">
      <c r="A119" s="36"/>
      <c r="B119" s="221" t="str">
        <f t="shared" si="122"/>
        <v>#REF!</v>
      </c>
      <c r="C119" s="196">
        <v>1.0</v>
      </c>
      <c r="D119" s="222" t="str">
        <f t="shared" ref="D119:E119" si="127">#REF!</f>
        <v>#REF!</v>
      </c>
      <c r="E119" s="223" t="str">
        <f t="shared" si="127"/>
        <v>#REF!</v>
      </c>
      <c r="F119" s="196" t="str">
        <f t="shared" si="124"/>
        <v>#REF!</v>
      </c>
      <c r="G119" s="224" t="str">
        <f>IF($B$1="CZ03",VLOOKUP($A$1&amp;CECCZ&amp;$G$2&amp;CompressorOnly&amp;$C119,CZ03CycleOnOff,7,0),IF($B$1="CZ04",VLOOKUP($A$1&amp;CECCZ&amp;$G$2&amp;CompressorOnly&amp;$C119,CZ04CycleOnOff,7,0),IF(CECCZ="CZ12",VLOOKUP($A$1&amp;CECCZ&amp;$G$2&amp;CompressorOnly&amp;$C119,CZ12CycleOnOff,7,0),IF(CECCZ="CZ13",VLOOKUP($A$1&amp;CECCZ&amp;$G$2&amp;CompressorOnly&amp;$C119,CZ13CycleOnOff,7,0)))))</f>
        <v>#NAME?</v>
      </c>
      <c r="H119" s="224" t="str">
        <f>IF(CECCZ="CZ03",VLOOKUP($A$1&amp;CECCZ&amp;$G$2&amp;CompressorOnly&amp;$C119,CZ03CycleOnOff,8,0),IF(CECCZ="CZ04",VLOOKUP($A$1&amp;CECCZ&amp;$G$2&amp;CompressorOnly&amp;$C119,CZ04CycleOnOff,8,0),IF(CECCZ="CZ12",VLOOKUP($A$1&amp;CECCZ&amp;$G$2&amp;CompressorOnly&amp;$C119,CZ12CycleOnOff,8,0),IF(CECCZ="CZ13",VLOOKUP($A$1&amp;CECCZ&amp;$G$2&amp;CompressorOnly&amp;$C119,CZ13CycleOnOff,8,0)))))</f>
        <v>#NAME?</v>
      </c>
      <c r="I119" s="224" t="str">
        <f t="shared" si="125"/>
        <v>#REF!</v>
      </c>
      <c r="J119" s="225" t="str">
        <f t="shared" si="126"/>
        <v>#REF!</v>
      </c>
    </row>
    <row r="120" ht="15.75" customHeight="1">
      <c r="A120" s="36"/>
      <c r="B120" s="221" t="str">
        <f t="shared" si="122"/>
        <v>#REF!</v>
      </c>
      <c r="C120" s="196">
        <v>1.0</v>
      </c>
      <c r="D120" s="222" t="str">
        <f t="shared" ref="D120:E120" si="128">#REF!</f>
        <v>#REF!</v>
      </c>
      <c r="E120" s="223" t="str">
        <f t="shared" si="128"/>
        <v>#REF!</v>
      </c>
      <c r="F120" s="196" t="str">
        <f t="shared" si="124"/>
        <v>#REF!</v>
      </c>
      <c r="G120" s="224" t="str">
        <f>IF($B$1="CZ03",VLOOKUP($A$1&amp;CECCZ&amp;$G$2&amp;CompressorOnly&amp;$C120,CZ03CycleOnOff,7,0),IF($B$1="CZ04",VLOOKUP($A$1&amp;CECCZ&amp;$G$2&amp;CompressorOnly&amp;$C120,CZ04CycleOnOff,7,0),IF(CECCZ="CZ12",VLOOKUP($A$1&amp;CECCZ&amp;$G$2&amp;CompressorOnly&amp;$C120,CZ12CycleOnOff,7,0),IF(CECCZ="CZ13",VLOOKUP($A$1&amp;CECCZ&amp;$G$2&amp;CompressorOnly&amp;$C120,CZ13CycleOnOff,7,0)))))</f>
        <v>#NAME?</v>
      </c>
      <c r="H120" s="224" t="str">
        <f>IF(CECCZ="CZ03",VLOOKUP($A$1&amp;CECCZ&amp;$G$2&amp;CompressorOnly&amp;$C120,CZ03CycleOnOff,8,0),IF(CECCZ="CZ04",VLOOKUP($A$1&amp;CECCZ&amp;$G$2&amp;CompressorOnly&amp;$C120,CZ04CycleOnOff,8,0),IF(CECCZ="CZ12",VLOOKUP($A$1&amp;CECCZ&amp;$G$2&amp;CompressorOnly&amp;$C120,CZ12CycleOnOff,8,0),IF(CECCZ="CZ13",VLOOKUP($A$1&amp;CECCZ&amp;$G$2&amp;CompressorOnly&amp;$C120,CZ13CycleOnOff,8,0)))))</f>
        <v>#NAME?</v>
      </c>
      <c r="I120" s="224" t="str">
        <f t="shared" si="125"/>
        <v>#REF!</v>
      </c>
      <c r="J120" s="225" t="str">
        <f t="shared" si="126"/>
        <v>#REF!</v>
      </c>
    </row>
    <row r="121" ht="15.75" customHeight="1">
      <c r="A121" s="36"/>
      <c r="B121" s="221" t="str">
        <f t="shared" si="122"/>
        <v>#REF!</v>
      </c>
      <c r="C121" s="196">
        <v>2.0</v>
      </c>
      <c r="D121" s="222" t="str">
        <f t="shared" ref="D121:E121" si="129">#REF!</f>
        <v>#REF!</v>
      </c>
      <c r="E121" s="223" t="str">
        <f t="shared" si="129"/>
        <v>#REF!</v>
      </c>
      <c r="F121" s="196" t="str">
        <f t="shared" si="124"/>
        <v>#REF!</v>
      </c>
      <c r="G121" s="224" t="str">
        <f>IF($B$1="CZ03",VLOOKUP($A$1&amp;CECCZ&amp;$G$2&amp;CompressorOnly&amp;$C121,CZ03CycleOnOff,7,0),IF($B$1="CZ04",VLOOKUP($A$1&amp;CECCZ&amp;$G$2&amp;CompressorOnly&amp;$C121,CZ04CycleOnOff,7,0),IF(CECCZ="CZ12",VLOOKUP($A$1&amp;CECCZ&amp;$G$2&amp;CompressorOnly&amp;$C121,CZ12CycleOnOff,7,0),IF(CECCZ="CZ13",VLOOKUP($A$1&amp;CECCZ&amp;$G$2&amp;CompressorOnly&amp;$C121,CZ13CycleOnOff,7,0)))))</f>
        <v>#NAME?</v>
      </c>
      <c r="H121" s="224" t="str">
        <f>IF(CECCZ="CZ03",VLOOKUP($A$1&amp;CECCZ&amp;$G$2&amp;CompressorOnly&amp;$C121,CZ03CycleOnOff,8,0),IF(CECCZ="CZ04",VLOOKUP($A$1&amp;CECCZ&amp;$G$2&amp;CompressorOnly&amp;$C121,CZ04CycleOnOff,8,0),IF(CECCZ="CZ12",VLOOKUP($A$1&amp;CECCZ&amp;$G$2&amp;CompressorOnly&amp;$C121,CZ12CycleOnOff,8,0),IF(CECCZ="CZ13",VLOOKUP($A$1&amp;CECCZ&amp;$G$2&amp;CompressorOnly&amp;$C121,CZ13CycleOnOff,8,0)))))</f>
        <v>#NAME?</v>
      </c>
      <c r="I121" s="224" t="str">
        <f t="shared" si="125"/>
        <v>#REF!</v>
      </c>
      <c r="J121" s="225" t="str">
        <f t="shared" si="126"/>
        <v>#REF!</v>
      </c>
    </row>
    <row r="122" ht="15.75" customHeight="1">
      <c r="A122" s="36"/>
      <c r="B122" s="221" t="str">
        <f t="shared" si="122"/>
        <v>#REF!</v>
      </c>
      <c r="C122" s="196">
        <v>2.0</v>
      </c>
      <c r="D122" s="222" t="str">
        <f t="shared" ref="D122:E122" si="130">#REF!</f>
        <v>#REF!</v>
      </c>
      <c r="E122" s="223" t="str">
        <f t="shared" si="130"/>
        <v>#REF!</v>
      </c>
      <c r="F122" s="196" t="str">
        <f t="shared" si="124"/>
        <v>#REF!</v>
      </c>
      <c r="G122" s="224" t="str">
        <f>IF($B$1="CZ03",VLOOKUP($A$1&amp;CECCZ&amp;$G$2&amp;CompressorOnly&amp;$C122,CZ03CycleOnOff,7,0),IF($B$1="CZ04",VLOOKUP($A$1&amp;CECCZ&amp;$G$2&amp;CompressorOnly&amp;$C122,CZ04CycleOnOff,7,0),IF(CECCZ="CZ12",VLOOKUP($A$1&amp;CECCZ&amp;$G$2&amp;CompressorOnly&amp;$C122,CZ12CycleOnOff,7,0),IF(CECCZ="CZ13",VLOOKUP($A$1&amp;CECCZ&amp;$G$2&amp;CompressorOnly&amp;$C122,CZ13CycleOnOff,7,0)))))</f>
        <v>#NAME?</v>
      </c>
      <c r="H122" s="224" t="str">
        <f>IF(CECCZ="CZ03",VLOOKUP($A$1&amp;CECCZ&amp;$G$2&amp;CompressorOnly&amp;$C122,CZ03CycleOnOff,8,0),IF(CECCZ="CZ04",VLOOKUP($A$1&amp;CECCZ&amp;$G$2&amp;CompressorOnly&amp;$C122,CZ04CycleOnOff,8,0),IF(CECCZ="CZ12",VLOOKUP($A$1&amp;CECCZ&amp;$G$2&amp;CompressorOnly&amp;$C122,CZ12CycleOnOff,8,0),IF(CECCZ="CZ13",VLOOKUP($A$1&amp;CECCZ&amp;$G$2&amp;CompressorOnly&amp;$C122,CZ13CycleOnOff,8,0)))))</f>
        <v>#NAME?</v>
      </c>
      <c r="I122" s="224" t="str">
        <f t="shared" si="125"/>
        <v>#REF!</v>
      </c>
      <c r="J122" s="225" t="str">
        <f t="shared" si="126"/>
        <v>#REF!</v>
      </c>
    </row>
    <row r="123" ht="15.75" customHeight="1">
      <c r="A123" s="36"/>
      <c r="B123" s="221" t="str">
        <f t="shared" si="122"/>
        <v>#REF!</v>
      </c>
      <c r="C123" s="196">
        <v>2.0</v>
      </c>
      <c r="D123" s="222" t="str">
        <f t="shared" ref="D123:E123" si="131">#REF!</f>
        <v>#REF!</v>
      </c>
      <c r="E123" s="223" t="str">
        <f t="shared" si="131"/>
        <v>#REF!</v>
      </c>
      <c r="F123" s="196" t="str">
        <f t="shared" si="124"/>
        <v>#REF!</v>
      </c>
      <c r="G123" s="224" t="str">
        <f>IF($B$1="CZ03",VLOOKUP($A$1&amp;CECCZ&amp;$G$2&amp;CompressorOnly&amp;$C123,CZ03CycleOnOff,7,0),IF($B$1="CZ04",VLOOKUP($A$1&amp;CECCZ&amp;$G$2&amp;CompressorOnly&amp;$C123,CZ04CycleOnOff,7,0),IF(CECCZ="CZ12",VLOOKUP($A$1&amp;CECCZ&amp;$G$2&amp;CompressorOnly&amp;$C123,CZ12CycleOnOff,7,0),IF(CECCZ="CZ13",VLOOKUP($A$1&amp;CECCZ&amp;$G$2&amp;CompressorOnly&amp;$C123,CZ13CycleOnOff,7,0)))))</f>
        <v>#NAME?</v>
      </c>
      <c r="H123" s="224" t="str">
        <f>IF(CECCZ="CZ03",VLOOKUP($A$1&amp;CECCZ&amp;$G$2&amp;CompressorOnly&amp;$C123,CZ03CycleOnOff,8,0),IF(CECCZ="CZ04",VLOOKUP($A$1&amp;CECCZ&amp;$G$2&amp;CompressorOnly&amp;$C123,CZ04CycleOnOff,8,0),IF(CECCZ="CZ12",VLOOKUP($A$1&amp;CECCZ&amp;$G$2&amp;CompressorOnly&amp;$C123,CZ12CycleOnOff,8,0),IF(CECCZ="CZ13",VLOOKUP($A$1&amp;CECCZ&amp;$G$2&amp;CompressorOnly&amp;$C123,CZ13CycleOnOff,8,0)))))</f>
        <v>#NAME?</v>
      </c>
      <c r="I123" s="224" t="str">
        <f t="shared" si="125"/>
        <v>#REF!</v>
      </c>
      <c r="J123" s="225" t="str">
        <f t="shared" si="126"/>
        <v>#REF!</v>
      </c>
    </row>
    <row r="124" ht="15.75" customHeight="1">
      <c r="A124" s="36"/>
      <c r="B124" s="221" t="str">
        <f t="shared" si="122"/>
        <v>#REF!</v>
      </c>
      <c r="C124" s="196">
        <v>2.0</v>
      </c>
      <c r="D124" s="222" t="str">
        <f t="shared" ref="D124:E124" si="132">#REF!</f>
        <v>#REF!</v>
      </c>
      <c r="E124" s="223" t="str">
        <f t="shared" si="132"/>
        <v>#REF!</v>
      </c>
      <c r="F124" s="196" t="str">
        <f t="shared" si="124"/>
        <v>#REF!</v>
      </c>
      <c r="G124" s="224" t="str">
        <f>IF($B$1="CZ03",VLOOKUP($A$1&amp;CECCZ&amp;$G$2&amp;CompressorOnly&amp;$C124,CZ03CycleOnOff,7,0),IF($B$1="CZ04",VLOOKUP($A$1&amp;CECCZ&amp;$G$2&amp;CompressorOnly&amp;$C124,CZ04CycleOnOff,7,0),IF(CECCZ="CZ12",VLOOKUP($A$1&amp;CECCZ&amp;$G$2&amp;CompressorOnly&amp;$C124,CZ12CycleOnOff,7,0),IF(CECCZ="CZ13",VLOOKUP($A$1&amp;CECCZ&amp;$G$2&amp;CompressorOnly&amp;$C124,CZ13CycleOnOff,7,0)))))</f>
        <v>#NAME?</v>
      </c>
      <c r="H124" s="224" t="str">
        <f>IF(CECCZ="CZ03",VLOOKUP($A$1&amp;CECCZ&amp;$G$2&amp;CompressorOnly&amp;$C124,CZ03CycleOnOff,8,0),IF(CECCZ="CZ04",VLOOKUP($A$1&amp;CECCZ&amp;$G$2&amp;CompressorOnly&amp;$C124,CZ04CycleOnOff,8,0),IF(CECCZ="CZ12",VLOOKUP($A$1&amp;CECCZ&amp;$G$2&amp;CompressorOnly&amp;$C124,CZ12CycleOnOff,8,0),IF(CECCZ="CZ13",VLOOKUP($A$1&amp;CECCZ&amp;$G$2&amp;CompressorOnly&amp;$C124,CZ13CycleOnOff,8,0)))))</f>
        <v>#NAME?</v>
      </c>
      <c r="I124" s="224" t="str">
        <f t="shared" si="125"/>
        <v>#REF!</v>
      </c>
      <c r="J124" s="225" t="str">
        <f t="shared" si="126"/>
        <v>#REF!</v>
      </c>
    </row>
    <row r="125" ht="15.75" customHeight="1">
      <c r="A125" s="36"/>
      <c r="B125" s="221" t="str">
        <f t="shared" si="122"/>
        <v>#REF!</v>
      </c>
      <c r="C125" s="196">
        <v>3.0</v>
      </c>
      <c r="D125" s="222" t="str">
        <f t="shared" ref="D125:E125" si="133">#REF!</f>
        <v>#REF!</v>
      </c>
      <c r="E125" s="223" t="str">
        <f t="shared" si="133"/>
        <v>#REF!</v>
      </c>
      <c r="F125" s="196" t="str">
        <f t="shared" si="124"/>
        <v>#REF!</v>
      </c>
      <c r="G125" s="224" t="str">
        <f>IF($B$1="CZ03",VLOOKUP($A$1&amp;CECCZ&amp;$G$2&amp;CompressorOnly&amp;$C125,CZ03CycleOnOff,7,0),IF($B$1="CZ04",VLOOKUP($A$1&amp;CECCZ&amp;$G$2&amp;CompressorOnly&amp;$C125,CZ04CycleOnOff,7,0),IF(CECCZ="CZ12",VLOOKUP($A$1&amp;CECCZ&amp;$G$2&amp;CompressorOnly&amp;$C125,CZ12CycleOnOff,7,0),IF(CECCZ="CZ13",VLOOKUP($A$1&amp;CECCZ&amp;$G$2&amp;CompressorOnly&amp;$C125,CZ13CycleOnOff,7,0)))))</f>
        <v>#NAME?</v>
      </c>
      <c r="H125" s="224" t="str">
        <f>IF(CECCZ="CZ03",VLOOKUP($A$1&amp;CECCZ&amp;$G$2&amp;CompressorOnly&amp;$C125,CZ03CycleOnOff,8,0),IF(CECCZ="CZ04",VLOOKUP($A$1&amp;CECCZ&amp;$G$2&amp;CompressorOnly&amp;$C125,CZ04CycleOnOff,8,0),IF(CECCZ="CZ12",VLOOKUP($A$1&amp;CECCZ&amp;$G$2&amp;CompressorOnly&amp;$C125,CZ12CycleOnOff,8,0),IF(CECCZ="CZ13",VLOOKUP($A$1&amp;CECCZ&amp;$G$2&amp;CompressorOnly&amp;$C125,CZ13CycleOnOff,8,0)))))</f>
        <v>#NAME?</v>
      </c>
      <c r="I125" s="224" t="str">
        <f t="shared" si="125"/>
        <v>#REF!</v>
      </c>
      <c r="J125" s="225" t="str">
        <f t="shared" si="126"/>
        <v>#REF!</v>
      </c>
    </row>
    <row r="126" ht="15.75" customHeight="1">
      <c r="A126" s="36"/>
      <c r="B126" s="221" t="str">
        <f t="shared" si="122"/>
        <v>#REF!</v>
      </c>
      <c r="C126" s="196">
        <v>3.0</v>
      </c>
      <c r="D126" s="222" t="str">
        <f t="shared" ref="D126:E126" si="134">#REF!</f>
        <v>#REF!</v>
      </c>
      <c r="E126" s="223" t="str">
        <f t="shared" si="134"/>
        <v>#REF!</v>
      </c>
      <c r="F126" s="196" t="str">
        <f t="shared" si="124"/>
        <v>#REF!</v>
      </c>
      <c r="G126" s="224" t="str">
        <f>IF($B$1="CZ03",VLOOKUP($A$1&amp;CECCZ&amp;$G$2&amp;CompressorOnly&amp;$C126,CZ03CycleOnOff,7,0),IF($B$1="CZ04",VLOOKUP($A$1&amp;CECCZ&amp;$G$2&amp;CompressorOnly&amp;$C126,CZ04CycleOnOff,7,0),IF(CECCZ="CZ12",VLOOKUP($A$1&amp;CECCZ&amp;$G$2&amp;CompressorOnly&amp;$C126,CZ12CycleOnOff,7,0),IF(CECCZ="CZ13",VLOOKUP($A$1&amp;CECCZ&amp;$G$2&amp;CompressorOnly&amp;$C126,CZ13CycleOnOff,7,0)))))</f>
        <v>#NAME?</v>
      </c>
      <c r="H126" s="224" t="str">
        <f>IF(CECCZ="CZ03",VLOOKUP($A$1&amp;CECCZ&amp;$G$2&amp;CompressorOnly&amp;$C126,CZ03CycleOnOff,8,0),IF(CECCZ="CZ04",VLOOKUP($A$1&amp;CECCZ&amp;$G$2&amp;CompressorOnly&amp;$C126,CZ04CycleOnOff,8,0),IF(CECCZ="CZ12",VLOOKUP($A$1&amp;CECCZ&amp;$G$2&amp;CompressorOnly&amp;$C126,CZ12CycleOnOff,8,0),IF(CECCZ="CZ13",VLOOKUP($A$1&amp;CECCZ&amp;$G$2&amp;CompressorOnly&amp;$C126,CZ13CycleOnOff,8,0)))))</f>
        <v>#NAME?</v>
      </c>
      <c r="I126" s="224" t="str">
        <f t="shared" si="125"/>
        <v>#REF!</v>
      </c>
      <c r="J126" s="225" t="str">
        <f t="shared" si="126"/>
        <v>#REF!</v>
      </c>
    </row>
    <row r="127" ht="15.75" customHeight="1">
      <c r="A127" s="36"/>
      <c r="B127" s="221" t="str">
        <f t="shared" si="122"/>
        <v>#REF!</v>
      </c>
      <c r="C127" s="196">
        <v>3.0</v>
      </c>
      <c r="D127" s="222" t="str">
        <f t="shared" ref="D127:E127" si="135">#REF!</f>
        <v>#REF!</v>
      </c>
      <c r="E127" s="223" t="str">
        <f t="shared" si="135"/>
        <v>#REF!</v>
      </c>
      <c r="F127" s="196" t="str">
        <f t="shared" si="124"/>
        <v>#REF!</v>
      </c>
      <c r="G127" s="224" t="str">
        <f>IF($B$1="CZ03",VLOOKUP($A$1&amp;CECCZ&amp;$G$2&amp;CompressorOnly&amp;$C127,CZ03CycleOnOff,7,0),IF($B$1="CZ04",VLOOKUP($A$1&amp;CECCZ&amp;$G$2&amp;CompressorOnly&amp;$C127,CZ04CycleOnOff,7,0),IF(CECCZ="CZ12",VLOOKUP($A$1&amp;CECCZ&amp;$G$2&amp;CompressorOnly&amp;$C127,CZ12CycleOnOff,7,0),IF(CECCZ="CZ13",VLOOKUP($A$1&amp;CECCZ&amp;$G$2&amp;CompressorOnly&amp;$C127,CZ13CycleOnOff,7,0)))))</f>
        <v>#NAME?</v>
      </c>
      <c r="H127" s="224" t="str">
        <f>IF(CECCZ="CZ03",VLOOKUP($A$1&amp;CECCZ&amp;$G$2&amp;CompressorOnly&amp;$C127,CZ03CycleOnOff,8,0),IF(CECCZ="CZ04",VLOOKUP($A$1&amp;CECCZ&amp;$G$2&amp;CompressorOnly&amp;$C127,CZ04CycleOnOff,8,0),IF(CECCZ="CZ12",VLOOKUP($A$1&amp;CECCZ&amp;$G$2&amp;CompressorOnly&amp;$C127,CZ12CycleOnOff,8,0),IF(CECCZ="CZ13",VLOOKUP($A$1&amp;CECCZ&amp;$G$2&amp;CompressorOnly&amp;$C127,CZ13CycleOnOff,8,0)))))</f>
        <v>#NAME?</v>
      </c>
      <c r="I127" s="224" t="str">
        <f t="shared" si="125"/>
        <v>#REF!</v>
      </c>
      <c r="J127" s="225" t="str">
        <f t="shared" si="126"/>
        <v>#REF!</v>
      </c>
    </row>
    <row r="128" ht="15.75" customHeight="1">
      <c r="A128" s="36"/>
      <c r="B128" s="221" t="str">
        <f t="shared" si="122"/>
        <v>#REF!</v>
      </c>
      <c r="C128" s="196">
        <v>3.0</v>
      </c>
      <c r="D128" s="222" t="str">
        <f t="shared" ref="D128:E128" si="136">#REF!</f>
        <v>#REF!</v>
      </c>
      <c r="E128" s="223" t="str">
        <f t="shared" si="136"/>
        <v>#REF!</v>
      </c>
      <c r="F128" s="196" t="str">
        <f t="shared" si="124"/>
        <v>#REF!</v>
      </c>
      <c r="G128" s="224" t="str">
        <f>IF($B$1="CZ03",VLOOKUP($A$1&amp;CECCZ&amp;$G$2&amp;CompressorOnly&amp;$C128,CZ03CycleOnOff,7,0),IF($B$1="CZ04",VLOOKUP($A$1&amp;CECCZ&amp;$G$2&amp;CompressorOnly&amp;$C128,CZ04CycleOnOff,7,0),IF(CECCZ="CZ12",VLOOKUP($A$1&amp;CECCZ&amp;$G$2&amp;CompressorOnly&amp;$C128,CZ12CycleOnOff,7,0),IF(CECCZ="CZ13",VLOOKUP($A$1&amp;CECCZ&amp;$G$2&amp;CompressorOnly&amp;$C128,CZ13CycleOnOff,7,0)))))</f>
        <v>#NAME?</v>
      </c>
      <c r="H128" s="224" t="str">
        <f>IF(CECCZ="CZ03",VLOOKUP($A$1&amp;CECCZ&amp;$G$2&amp;CompressorOnly&amp;$C128,CZ03CycleOnOff,8,0),IF(CECCZ="CZ04",VLOOKUP($A$1&amp;CECCZ&amp;$G$2&amp;CompressorOnly&amp;$C128,CZ04CycleOnOff,8,0),IF(CECCZ="CZ12",VLOOKUP($A$1&amp;CECCZ&amp;$G$2&amp;CompressorOnly&amp;$C128,CZ12CycleOnOff,8,0),IF(CECCZ="CZ13",VLOOKUP($A$1&amp;CECCZ&amp;$G$2&amp;CompressorOnly&amp;$C128,CZ13CycleOnOff,8,0)))))</f>
        <v>#NAME?</v>
      </c>
      <c r="I128" s="224" t="str">
        <f t="shared" si="125"/>
        <v>#REF!</v>
      </c>
      <c r="J128" s="225" t="str">
        <f t="shared" si="126"/>
        <v>#REF!</v>
      </c>
    </row>
    <row r="129" ht="15.75" customHeight="1">
      <c r="A129" s="36"/>
      <c r="B129" s="221" t="str">
        <f t="shared" si="122"/>
        <v>#REF!</v>
      </c>
      <c r="C129" s="196">
        <v>4.0</v>
      </c>
      <c r="D129" s="222" t="str">
        <f t="shared" ref="D129:E129" si="137">#REF!</f>
        <v>#REF!</v>
      </c>
      <c r="E129" s="223" t="str">
        <f t="shared" si="137"/>
        <v>#REF!</v>
      </c>
      <c r="F129" s="196" t="str">
        <f t="shared" si="124"/>
        <v>#REF!</v>
      </c>
      <c r="G129" s="224" t="str">
        <f>IF($B$1="CZ03",VLOOKUP($A$1&amp;CECCZ&amp;$G$2&amp;CompressorOnly&amp;$C129,CZ03CycleOnOff,7,0),IF($B$1="CZ04",VLOOKUP($A$1&amp;CECCZ&amp;$G$2&amp;CompressorOnly&amp;$C129,CZ04CycleOnOff,7,0),IF(CECCZ="CZ12",VLOOKUP($A$1&amp;CECCZ&amp;$G$2&amp;CompressorOnly&amp;$C129,CZ12CycleOnOff,7,0),IF(CECCZ="CZ13",VLOOKUP($A$1&amp;CECCZ&amp;$G$2&amp;CompressorOnly&amp;$C129,CZ13CycleOnOff,7,0)))))</f>
        <v>#NAME?</v>
      </c>
      <c r="H129" s="224" t="str">
        <f>IF(CECCZ="CZ03",VLOOKUP($A$1&amp;CECCZ&amp;$G$2&amp;CompressorOnly&amp;$C129,CZ03CycleOnOff,8,0),IF(CECCZ="CZ04",VLOOKUP($A$1&amp;CECCZ&amp;$G$2&amp;CompressorOnly&amp;$C129,CZ04CycleOnOff,8,0),IF(CECCZ="CZ12",VLOOKUP($A$1&amp;CECCZ&amp;$G$2&amp;CompressorOnly&amp;$C129,CZ12CycleOnOff,8,0),IF(CECCZ="CZ13",VLOOKUP($A$1&amp;CECCZ&amp;$G$2&amp;CompressorOnly&amp;$C129,CZ13CycleOnOff,8,0)))))</f>
        <v>#NAME?</v>
      </c>
      <c r="I129" s="224" t="str">
        <f t="shared" si="125"/>
        <v>#REF!</v>
      </c>
      <c r="J129" s="225" t="str">
        <f t="shared" si="126"/>
        <v>#REF!</v>
      </c>
    </row>
    <row r="130" ht="15.75" customHeight="1">
      <c r="A130" s="36"/>
      <c r="B130" s="221" t="str">
        <f t="shared" si="122"/>
        <v>#REF!</v>
      </c>
      <c r="C130" s="196">
        <v>4.0</v>
      </c>
      <c r="D130" s="222" t="str">
        <f t="shared" ref="D130:E130" si="138">#REF!</f>
        <v>#REF!</v>
      </c>
      <c r="E130" s="223" t="str">
        <f t="shared" si="138"/>
        <v>#REF!</v>
      </c>
      <c r="F130" s="196" t="str">
        <f t="shared" si="124"/>
        <v>#REF!</v>
      </c>
      <c r="G130" s="224" t="str">
        <f>IF($B$1="CZ03",VLOOKUP($A$1&amp;CECCZ&amp;$G$2&amp;CompressorOnly&amp;$C130,CZ03CycleOnOff,7,0),IF($B$1="CZ04",VLOOKUP($A$1&amp;CECCZ&amp;$G$2&amp;CompressorOnly&amp;$C130,CZ04CycleOnOff,7,0),IF(CECCZ="CZ12",VLOOKUP($A$1&amp;CECCZ&amp;$G$2&amp;CompressorOnly&amp;$C130,CZ12CycleOnOff,7,0),IF(CECCZ="CZ13",VLOOKUP($A$1&amp;CECCZ&amp;$G$2&amp;CompressorOnly&amp;$C130,CZ13CycleOnOff,7,0)))))</f>
        <v>#NAME?</v>
      </c>
      <c r="H130" s="224" t="str">
        <f>IF(CECCZ="CZ03",VLOOKUP($A$1&amp;CECCZ&amp;$G$2&amp;CompressorOnly&amp;$C130,CZ03CycleOnOff,8,0),IF(CECCZ="CZ04",VLOOKUP($A$1&amp;CECCZ&amp;$G$2&amp;CompressorOnly&amp;$C130,CZ04CycleOnOff,8,0),IF(CECCZ="CZ12",VLOOKUP($A$1&amp;CECCZ&amp;$G$2&amp;CompressorOnly&amp;$C130,CZ12CycleOnOff,8,0),IF(CECCZ="CZ13",VLOOKUP($A$1&amp;CECCZ&amp;$G$2&amp;CompressorOnly&amp;$C130,CZ13CycleOnOff,8,0)))))</f>
        <v>#NAME?</v>
      </c>
      <c r="I130" s="224" t="str">
        <f t="shared" si="125"/>
        <v>#REF!</v>
      </c>
      <c r="J130" s="225" t="str">
        <f t="shared" si="126"/>
        <v>#REF!</v>
      </c>
    </row>
    <row r="131" ht="15.75" customHeight="1">
      <c r="A131" s="36"/>
      <c r="B131" s="221" t="str">
        <f t="shared" si="122"/>
        <v>#REF!</v>
      </c>
      <c r="C131" s="196">
        <v>4.0</v>
      </c>
      <c r="D131" s="222" t="str">
        <f t="shared" ref="D131:E131" si="139">#REF!</f>
        <v>#REF!</v>
      </c>
      <c r="E131" s="223" t="str">
        <f t="shared" si="139"/>
        <v>#REF!</v>
      </c>
      <c r="F131" s="196" t="str">
        <f t="shared" si="124"/>
        <v>#REF!</v>
      </c>
      <c r="G131" s="224" t="str">
        <f>IF($B$1="CZ03",VLOOKUP($A$1&amp;CECCZ&amp;$G$2&amp;CompressorOnly&amp;$C131,CZ03CycleOnOff,7,0),IF($B$1="CZ04",VLOOKUP($A$1&amp;CECCZ&amp;$G$2&amp;CompressorOnly&amp;$C131,CZ04CycleOnOff,7,0),IF(CECCZ="CZ12",VLOOKUP($A$1&amp;CECCZ&amp;$G$2&amp;CompressorOnly&amp;$C131,CZ12CycleOnOff,7,0),IF(CECCZ="CZ13",VLOOKUP($A$1&amp;CECCZ&amp;$G$2&amp;CompressorOnly&amp;$C131,CZ13CycleOnOff,7,0)))))</f>
        <v>#NAME?</v>
      </c>
      <c r="H131" s="224" t="str">
        <f>IF(CECCZ="CZ03",VLOOKUP($A$1&amp;CECCZ&amp;$G$2&amp;CompressorOnly&amp;$C131,CZ03CycleOnOff,8,0),IF(CECCZ="CZ04",VLOOKUP($A$1&amp;CECCZ&amp;$G$2&amp;CompressorOnly&amp;$C131,CZ04CycleOnOff,8,0),IF(CECCZ="CZ12",VLOOKUP($A$1&amp;CECCZ&amp;$G$2&amp;CompressorOnly&amp;$C131,CZ12CycleOnOff,8,0),IF(CECCZ="CZ13",VLOOKUP($A$1&amp;CECCZ&amp;$G$2&amp;CompressorOnly&amp;$C131,CZ13CycleOnOff,8,0)))))</f>
        <v>#NAME?</v>
      </c>
      <c r="I131" s="224" t="str">
        <f t="shared" si="125"/>
        <v>#REF!</v>
      </c>
      <c r="J131" s="225" t="str">
        <f t="shared" si="126"/>
        <v>#REF!</v>
      </c>
    </row>
    <row r="132" ht="15.75" customHeight="1">
      <c r="A132" s="186"/>
      <c r="B132" s="227" t="str">
        <f t="shared" si="122"/>
        <v>#REF!</v>
      </c>
      <c r="C132" s="228">
        <v>4.0</v>
      </c>
      <c r="D132" s="229" t="str">
        <f t="shared" ref="D132:E132" si="140">#REF!</f>
        <v>#REF!</v>
      </c>
      <c r="E132" s="230" t="str">
        <f t="shared" si="140"/>
        <v>#REF!</v>
      </c>
      <c r="F132" s="228" t="str">
        <f t="shared" si="124"/>
        <v>#REF!</v>
      </c>
      <c r="G132" s="231" t="str">
        <f>IF($B$1="CZ03",VLOOKUP($A$1&amp;CECCZ&amp;$G$2&amp;CompressorOnly&amp;$C132,CZ03CycleOnOff,7,0),IF($B$1="CZ04",VLOOKUP($A$1&amp;CECCZ&amp;$G$2&amp;CompressorOnly&amp;$C132,CZ04CycleOnOff,7,0),IF(CECCZ="CZ12",VLOOKUP($A$1&amp;CECCZ&amp;$G$2&amp;CompressorOnly&amp;$C132,CZ12CycleOnOff,7,0),IF(CECCZ="CZ13",VLOOKUP($A$1&amp;CECCZ&amp;$G$2&amp;CompressorOnly&amp;$C132,CZ13CycleOnOff,7,0)))))</f>
        <v>#NAME?</v>
      </c>
      <c r="H132" s="231" t="str">
        <f>IF(CECCZ="CZ03",VLOOKUP($A$1&amp;CECCZ&amp;$G$2&amp;CompressorOnly&amp;$C132,CZ03CycleOnOff,8,0),IF(CECCZ="CZ04",VLOOKUP($A$1&amp;CECCZ&amp;$G$2&amp;CompressorOnly&amp;$C132,CZ04CycleOnOff,8,0),IF(CECCZ="CZ12",VLOOKUP($A$1&amp;CECCZ&amp;$G$2&amp;CompressorOnly&amp;$C132,CZ12CycleOnOff,8,0),IF(CECCZ="CZ13",VLOOKUP($A$1&amp;CECCZ&amp;$G$2&amp;CompressorOnly&amp;$C132,CZ13CycleOnOff,8,0)))))</f>
        <v>#NAME?</v>
      </c>
      <c r="I132" s="231" t="str">
        <f t="shared" si="125"/>
        <v>#REF!</v>
      </c>
      <c r="J132" s="232" t="str">
        <f t="shared" si="126"/>
        <v>#REF!</v>
      </c>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7.11"/>
    <col customWidth="1" min="3" max="3" width="12.11"/>
    <col customWidth="1" min="4" max="4" width="21.89"/>
  </cols>
  <sheetData>
    <row r="1">
      <c r="A1" s="233" t="str">
        <f>'User Inputs and DR Shed Results'!B15</f>
        <v>MediumOffice</v>
      </c>
      <c r="B1" s="234" t="str">
        <f>CITYCZ</f>
        <v>n/a</v>
      </c>
      <c r="C1" s="235" t="str">
        <f>ASHRAECZ</f>
        <v>5A</v>
      </c>
      <c r="D1" s="234" t="s">
        <v>192</v>
      </c>
    </row>
    <row r="2">
      <c r="A2" s="236" t="s">
        <v>237</v>
      </c>
      <c r="B2" s="197" t="s">
        <v>197</v>
      </c>
      <c r="C2" s="198" t="s">
        <v>198</v>
      </c>
      <c r="D2" s="196" t="s">
        <v>199</v>
      </c>
      <c r="E2" s="236" t="s">
        <v>238</v>
      </c>
      <c r="F2" s="236" t="s">
        <v>239</v>
      </c>
      <c r="G2" s="236" t="s">
        <v>240</v>
      </c>
      <c r="H2" s="236" t="s">
        <v>241</v>
      </c>
      <c r="I2" s="237" t="s">
        <v>242</v>
      </c>
      <c r="J2" s="237" t="s">
        <v>243</v>
      </c>
      <c r="K2" s="237" t="s">
        <v>244</v>
      </c>
      <c r="L2" s="237" t="s">
        <v>245</v>
      </c>
      <c r="M2" s="238" t="s">
        <v>233</v>
      </c>
      <c r="N2" s="238" t="s">
        <v>232</v>
      </c>
      <c r="O2" s="238" t="s">
        <v>235</v>
      </c>
      <c r="P2" s="238" t="s">
        <v>236</v>
      </c>
      <c r="Q2" s="238" t="s">
        <v>246</v>
      </c>
      <c r="R2" s="236"/>
      <c r="S2" s="236"/>
      <c r="T2" s="236"/>
      <c r="U2" s="236"/>
      <c r="V2" s="236"/>
      <c r="W2" s="236"/>
    </row>
    <row r="3">
      <c r="A3" s="196" t="str">
        <f t="shared" ref="A3:A6" si="1">$D$1&amp;$A$1&amp; B3&amp; C3&amp;D3</f>
        <v>MAMediumOffice021</v>
      </c>
      <c r="B3" s="239">
        <f>PrecoolDegrees</f>
        <v>0</v>
      </c>
      <c r="C3" s="239">
        <f>TempResetDegrees</f>
        <v>2</v>
      </c>
      <c r="D3" s="196">
        <v>1.0</v>
      </c>
      <c r="E3" s="199">
        <f>VLOOKUP($A3,GTALoadShed,5,0)</f>
        <v>0.1842091087</v>
      </c>
      <c r="F3" s="199">
        <f>VLOOKUP($A3,GTALoadShed,6,0)</f>
        <v>-11.37826722</v>
      </c>
      <c r="G3" s="199">
        <f>VLOOKUP($A3,GTALoadShed,7,0)</f>
        <v>0.6748295575</v>
      </c>
      <c r="H3" s="199">
        <f>VLOOKUP($A3,GTALoadShed,8,0)</f>
        <v>-48.06759358</v>
      </c>
      <c r="I3" s="240">
        <f>VLOOKUP($A3,GTALoadShed,11,0)</f>
        <v>0.004666229955</v>
      </c>
      <c r="J3" s="240">
        <f>VLOOKUP($A3,GTALoadShed,12,0)</f>
        <v>-0.2752538111</v>
      </c>
      <c r="K3" s="240">
        <f>VLOOKUP($A3,GTALoadShed,13,0)</f>
        <v>0.02401970986</v>
      </c>
      <c r="L3" s="240">
        <f>VLOOKUP($A3,GTALoadShed,14,0)</f>
        <v>-1.738911971</v>
      </c>
      <c r="M3" s="241">
        <f>'User Inputs and DR Shed Results'!B19</f>
        <v>100</v>
      </c>
      <c r="N3" s="241">
        <f>'User Inputs and DR Shed Results'!C19</f>
        <v>200</v>
      </c>
      <c r="O3" s="242">
        <f t="shared" ref="O3:O6" si="2">IF(M3&lt;75,M3*E3+F3,M3*G3+H3)/100</f>
        <v>0.1941536216</v>
      </c>
      <c r="P3" s="242">
        <f t="shared" ref="P3:P6" si="3">N3*O3</f>
        <v>38.83072432</v>
      </c>
      <c r="Q3" s="242">
        <f t="shared" ref="Q3:Q6" si="4">IF(M3&lt;75,M3*I3+J3,M3*K3+L3)</f>
        <v>0.6630590147</v>
      </c>
    </row>
    <row r="4">
      <c r="A4" s="196" t="str">
        <f t="shared" si="1"/>
        <v>MAMediumOffice022</v>
      </c>
      <c r="B4" s="239">
        <f>PrecoolDegrees</f>
        <v>0</v>
      </c>
      <c r="C4" s="239">
        <f>TempResetDegrees</f>
        <v>2</v>
      </c>
      <c r="D4" s="196">
        <v>2.0</v>
      </c>
      <c r="E4" s="199">
        <f>VLOOKUP($A4,GTALoadShed,5,0)</f>
        <v>0.200849925</v>
      </c>
      <c r="F4" s="199">
        <f>VLOOKUP($A4,GTALoadShed,6,0)</f>
        <v>-11.95588118</v>
      </c>
      <c r="G4" s="199">
        <f>VLOOKUP($A4,GTALoadShed,7,0)</f>
        <v>0.5760070752</v>
      </c>
      <c r="H4" s="199">
        <f>VLOOKUP($A4,GTALoadShed,8,0)</f>
        <v>-39.55934554</v>
      </c>
      <c r="I4" s="240">
        <f>VLOOKUP($A4,GTALoadShed,11,0)</f>
        <v>0.005419852007</v>
      </c>
      <c r="J4" s="240">
        <f>VLOOKUP($A4,GTALoadShed,12,0)</f>
        <v>-0.3198229861</v>
      </c>
      <c r="K4" s="240">
        <f>VLOOKUP($A4,GTALoadShed,13,0)</f>
        <v>0.02003608459</v>
      </c>
      <c r="L4" s="240">
        <f>VLOOKUP($A4,GTALoadShed,14,0)</f>
        <v>-1.412056992</v>
      </c>
      <c r="M4" s="241">
        <f>'User Inputs and DR Shed Results'!B20</f>
        <v>98</v>
      </c>
      <c r="N4" s="241">
        <f>'User Inputs and DR Shed Results'!C20</f>
        <v>230</v>
      </c>
      <c r="O4" s="242">
        <f t="shared" si="2"/>
        <v>0.1688934783</v>
      </c>
      <c r="P4" s="242">
        <f t="shared" si="3"/>
        <v>38.84550001</v>
      </c>
      <c r="Q4" s="242">
        <f t="shared" si="4"/>
        <v>0.5514792978</v>
      </c>
    </row>
    <row r="5">
      <c r="A5" s="196" t="str">
        <f t="shared" si="1"/>
        <v>MAMediumOffice023</v>
      </c>
      <c r="B5" s="239">
        <f>PrecoolDegrees</f>
        <v>0</v>
      </c>
      <c r="C5" s="239">
        <f>TempResetDegrees</f>
        <v>2</v>
      </c>
      <c r="D5" s="196">
        <v>3.0</v>
      </c>
      <c r="E5" s="199">
        <f>VLOOKUP($A5,GTALoadShed,5,0)</f>
        <v>0.2185767283</v>
      </c>
      <c r="F5" s="199">
        <f>VLOOKUP($A5,GTALoadShed,6,0)</f>
        <v>-12.83954918</v>
      </c>
      <c r="G5" s="199">
        <f>VLOOKUP($A5,GTALoadShed,7,0)</f>
        <v>0.5474526303</v>
      </c>
      <c r="H5" s="199">
        <f>VLOOKUP($A5,GTALoadShed,8,0)</f>
        <v>-37.1827231</v>
      </c>
      <c r="I5" s="240">
        <f>VLOOKUP($A5,GTALoadShed,11,0)</f>
        <v>0.00618797325</v>
      </c>
      <c r="J5" s="240">
        <f>VLOOKUP($A5,GTALoadShed,12,0)</f>
        <v>-0.3576020125</v>
      </c>
      <c r="K5" s="240">
        <f>VLOOKUP($A5,GTALoadShed,13,0)</f>
        <v>0.01965020053</v>
      </c>
      <c r="L5" s="240">
        <f>VLOOKUP($A5,GTALoadShed,14,0)</f>
        <v>-1.370488205</v>
      </c>
      <c r="M5" s="241">
        <f>'User Inputs and DR Shed Results'!B21</f>
        <v>87</v>
      </c>
      <c r="N5" s="241">
        <f>'User Inputs and DR Shed Results'!C21</f>
        <v>240</v>
      </c>
      <c r="O5" s="242">
        <f t="shared" si="2"/>
        <v>0.1044565573</v>
      </c>
      <c r="P5" s="242">
        <f t="shared" si="3"/>
        <v>25.06957375</v>
      </c>
      <c r="Q5" s="242">
        <f t="shared" si="4"/>
        <v>0.3390792408</v>
      </c>
    </row>
    <row r="6">
      <c r="A6" s="196" t="str">
        <f t="shared" si="1"/>
        <v>MAMediumOffice024</v>
      </c>
      <c r="B6" s="239">
        <f>PrecoolDegrees</f>
        <v>0</v>
      </c>
      <c r="C6" s="239">
        <f>TempResetDegrees</f>
        <v>2</v>
      </c>
      <c r="D6" s="196">
        <v>4.0</v>
      </c>
      <c r="E6" s="199">
        <f>VLOOKUP($A6,GTALoadShed,5,0)</f>
        <v>0.1182331967</v>
      </c>
      <c r="F6" s="199">
        <f>VLOOKUP($A6,GTALoadShed,6,0)</f>
        <v>-7.347198897</v>
      </c>
      <c r="G6" s="199">
        <f>VLOOKUP($A6,GTALoadShed,7,0)</f>
        <v>0.476113886</v>
      </c>
      <c r="H6" s="199">
        <f>VLOOKUP($A6,GTALoadShed,8,0)</f>
        <v>-33.44991877</v>
      </c>
      <c r="I6" s="240">
        <f>VLOOKUP($A6,GTALoadShed,11,0)</f>
        <v>0.001999600752</v>
      </c>
      <c r="J6" s="240">
        <f>VLOOKUP($A6,GTALoadShed,12,0)</f>
        <v>-0.105942089</v>
      </c>
      <c r="K6" s="240">
        <f>VLOOKUP($A6,GTALoadShed,13,0)</f>
        <v>0.01502525194</v>
      </c>
      <c r="L6" s="240">
        <f>VLOOKUP($A6,GTALoadShed,14,0)</f>
        <v>-1.080283154</v>
      </c>
      <c r="M6" s="241">
        <f>'User Inputs and DR Shed Results'!B22</f>
        <v>87</v>
      </c>
      <c r="N6" s="241">
        <f>'User Inputs and DR Shed Results'!C22</f>
        <v>230</v>
      </c>
      <c r="O6" s="242">
        <f t="shared" si="2"/>
        <v>0.0797198931</v>
      </c>
      <c r="P6" s="242">
        <f t="shared" si="3"/>
        <v>18.33557541</v>
      </c>
      <c r="Q6" s="242">
        <f t="shared" si="4"/>
        <v>0.226913765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0.0"/>
    <col customWidth="1" min="2" max="2" width="43.0"/>
    <col customWidth="1" min="3" max="26" width="10.56"/>
  </cols>
  <sheetData>
    <row r="1" ht="15.75" customHeight="1">
      <c r="A1" s="196" t="s">
        <v>237</v>
      </c>
      <c r="B1" s="196" t="s">
        <v>247</v>
      </c>
      <c r="C1" s="196" t="s">
        <v>248</v>
      </c>
      <c r="D1" s="196" t="s">
        <v>249</v>
      </c>
      <c r="E1" s="196" t="s">
        <v>250</v>
      </c>
      <c r="F1" s="196" t="s">
        <v>251</v>
      </c>
      <c r="G1" s="196" t="s">
        <v>252</v>
      </c>
      <c r="H1" s="196" t="s">
        <v>231</v>
      </c>
      <c r="I1" s="196" t="s">
        <v>238</v>
      </c>
      <c r="J1" s="196" t="s">
        <v>239</v>
      </c>
      <c r="K1" s="196" t="s">
        <v>240</v>
      </c>
      <c r="L1" s="196" t="s">
        <v>241</v>
      </c>
      <c r="M1" s="196" t="s">
        <v>242</v>
      </c>
      <c r="N1" s="196" t="s">
        <v>243</v>
      </c>
      <c r="O1" s="196" t="s">
        <v>244</v>
      </c>
      <c r="P1" s="196" t="s">
        <v>245</v>
      </c>
    </row>
    <row r="2" ht="15.75" customHeight="1">
      <c r="A2" s="196" t="s">
        <v>253</v>
      </c>
      <c r="B2" s="196" t="str">
        <f t="shared" ref="B2:B139" si="1">A2&amp;"_"&amp;H2</f>
        <v>SmallOffice_Pre1980_2A_74_16_19_0_0_16</v>
      </c>
      <c r="C2" s="196">
        <v>74.0</v>
      </c>
      <c r="D2" s="196">
        <v>16.0</v>
      </c>
      <c r="E2" s="196">
        <v>19.0</v>
      </c>
      <c r="F2" s="196">
        <v>0.0</v>
      </c>
      <c r="G2" s="196">
        <v>0.0</v>
      </c>
      <c r="H2" s="196">
        <v>16.0</v>
      </c>
      <c r="I2" s="196">
        <v>0.0</v>
      </c>
      <c r="J2" s="196">
        <v>0.0</v>
      </c>
      <c r="K2" s="196">
        <v>0.0</v>
      </c>
      <c r="L2" s="196">
        <v>0.0</v>
      </c>
      <c r="M2" s="196">
        <v>0.0</v>
      </c>
      <c r="N2" s="196">
        <v>0.0</v>
      </c>
      <c r="O2" s="196">
        <v>0.0</v>
      </c>
      <c r="P2" s="196">
        <v>0.0</v>
      </c>
    </row>
    <row r="3" ht="15.75" customHeight="1">
      <c r="A3" s="196" t="s">
        <v>253</v>
      </c>
      <c r="B3" s="196" t="str">
        <f t="shared" si="1"/>
        <v>SmallOffice_Pre1980_2A_74_16_19_0_0_17</v>
      </c>
      <c r="C3" s="196">
        <v>74.0</v>
      </c>
      <c r="D3" s="196">
        <v>16.0</v>
      </c>
      <c r="E3" s="196">
        <v>19.0</v>
      </c>
      <c r="F3" s="196">
        <v>0.0</v>
      </c>
      <c r="G3" s="196">
        <v>0.0</v>
      </c>
      <c r="H3" s="196">
        <v>17.0</v>
      </c>
      <c r="I3" s="196">
        <v>0.0</v>
      </c>
      <c r="J3" s="196">
        <v>0.0</v>
      </c>
      <c r="K3" s="196">
        <v>0.0</v>
      </c>
      <c r="L3" s="196">
        <v>0.0</v>
      </c>
      <c r="M3" s="196">
        <v>0.0</v>
      </c>
      <c r="N3" s="196">
        <v>0.0</v>
      </c>
      <c r="O3" s="196">
        <v>0.0</v>
      </c>
      <c r="P3" s="196">
        <v>0.0</v>
      </c>
    </row>
    <row r="4" ht="15.75" customHeight="1">
      <c r="A4" s="196" t="s">
        <v>253</v>
      </c>
      <c r="B4" s="196" t="str">
        <f t="shared" si="1"/>
        <v>SmallOffice_Pre1980_2A_74_16_19_0_0_18</v>
      </c>
      <c r="C4" s="196">
        <v>74.0</v>
      </c>
      <c r="D4" s="196">
        <v>16.0</v>
      </c>
      <c r="E4" s="196">
        <v>19.0</v>
      </c>
      <c r="F4" s="196">
        <v>0.0</v>
      </c>
      <c r="G4" s="196">
        <v>0.0</v>
      </c>
      <c r="H4" s="196">
        <v>18.0</v>
      </c>
      <c r="I4" s="196">
        <v>0.0</v>
      </c>
      <c r="J4" s="196">
        <v>0.0</v>
      </c>
      <c r="K4" s="196">
        <v>0.0</v>
      </c>
      <c r="L4" s="196">
        <v>0.0</v>
      </c>
      <c r="M4" s="196">
        <v>0.0</v>
      </c>
      <c r="N4" s="196">
        <v>0.0</v>
      </c>
      <c r="O4" s="196">
        <v>0.0</v>
      </c>
      <c r="P4" s="196">
        <v>0.0</v>
      </c>
    </row>
    <row r="5" ht="15.75" customHeight="1">
      <c r="A5" s="196" t="s">
        <v>254</v>
      </c>
      <c r="B5" s="196" t="str">
        <f t="shared" si="1"/>
        <v>SmallOffice_Pre1980_2A_74_16_19_0_2_16</v>
      </c>
      <c r="C5" s="196">
        <v>74.0</v>
      </c>
      <c r="D5" s="196">
        <v>16.0</v>
      </c>
      <c r="E5" s="196">
        <v>19.0</v>
      </c>
      <c r="F5" s="196">
        <v>0.0</v>
      </c>
      <c r="G5" s="196">
        <v>2.0</v>
      </c>
      <c r="H5" s="196">
        <v>16.0</v>
      </c>
      <c r="I5" s="196">
        <v>7.48135544905315E-4</v>
      </c>
      <c r="J5" s="196">
        <v>0.0170537335716485</v>
      </c>
      <c r="K5" s="243">
        <v>9.82792127130639E-5</v>
      </c>
      <c r="L5" s="196">
        <v>0.0668968045536017</v>
      </c>
      <c r="M5" s="196">
        <v>0.00580892000038399</v>
      </c>
      <c r="N5" s="196">
        <v>-0.103876544754653</v>
      </c>
      <c r="O5" s="196">
        <v>0.00670730219923237</v>
      </c>
      <c r="P5" s="196">
        <v>-0.1672288816253</v>
      </c>
    </row>
    <row r="6" ht="15.75" customHeight="1">
      <c r="A6" s="196" t="s">
        <v>254</v>
      </c>
      <c r="B6" s="196" t="str">
        <f t="shared" si="1"/>
        <v>SmallOffice_Pre1980_2A_74_16_19_0_2_17</v>
      </c>
      <c r="C6" s="196">
        <v>74.0</v>
      </c>
      <c r="D6" s="196">
        <v>16.0</v>
      </c>
      <c r="E6" s="196">
        <v>19.0</v>
      </c>
      <c r="F6" s="196">
        <v>0.0</v>
      </c>
      <c r="G6" s="196">
        <v>2.0</v>
      </c>
      <c r="H6" s="196">
        <v>17.0</v>
      </c>
      <c r="I6" s="243">
        <v>-9.07338758479271E-5</v>
      </c>
      <c r="J6" s="196">
        <v>0.0729723566264425</v>
      </c>
      <c r="K6" s="196">
        <v>-2.13474877794519E-4</v>
      </c>
      <c r="L6" s="196">
        <v>0.0864947146384284</v>
      </c>
      <c r="M6" s="196">
        <v>0.00300784296414452</v>
      </c>
      <c r="N6" s="196">
        <v>-0.0131164581645739</v>
      </c>
      <c r="O6" s="196">
        <v>0.00459977507464525</v>
      </c>
      <c r="P6" s="196">
        <v>-0.124864500381089</v>
      </c>
    </row>
    <row r="7" ht="15.75" customHeight="1">
      <c r="A7" s="196" t="s">
        <v>254</v>
      </c>
      <c r="B7" s="196" t="str">
        <f t="shared" si="1"/>
        <v>SmallOffice_Pre1980_2A_74_16_19_0_2_18</v>
      </c>
      <c r="C7" s="196">
        <v>74.0</v>
      </c>
      <c r="D7" s="196">
        <v>16.0</v>
      </c>
      <c r="E7" s="196">
        <v>19.0</v>
      </c>
      <c r="F7" s="196">
        <v>0.0</v>
      </c>
      <c r="G7" s="196">
        <v>2.0</v>
      </c>
      <c r="H7" s="196">
        <v>18.0</v>
      </c>
      <c r="I7" s="196">
        <v>9.14861501774764E-4</v>
      </c>
      <c r="J7" s="196">
        <v>0.00459786457133833</v>
      </c>
      <c r="K7" s="196">
        <v>-2.83851548149663E-4</v>
      </c>
      <c r="L7" s="196">
        <v>0.0958232773845185</v>
      </c>
      <c r="M7" s="196">
        <v>0.00481414994972429</v>
      </c>
      <c r="N7" s="196">
        <v>-0.172559551959827</v>
      </c>
      <c r="O7" s="196">
        <v>0.00391736586172533</v>
      </c>
      <c r="P7" s="196">
        <v>-0.101119331348713</v>
      </c>
    </row>
    <row r="8" ht="15.75" customHeight="1">
      <c r="A8" s="196" t="s">
        <v>255</v>
      </c>
      <c r="B8" s="196" t="str">
        <f t="shared" si="1"/>
        <v>SmallOffice_Pre1980_2A_74_16_19_0_4_16</v>
      </c>
      <c r="C8" s="196">
        <v>74.0</v>
      </c>
      <c r="D8" s="196">
        <v>16.0</v>
      </c>
      <c r="E8" s="196">
        <v>19.0</v>
      </c>
      <c r="F8" s="196">
        <v>0.0</v>
      </c>
      <c r="G8" s="196">
        <v>4.0</v>
      </c>
      <c r="H8" s="196">
        <v>16.0</v>
      </c>
      <c r="I8" s="196">
        <v>0.00158832043372072</v>
      </c>
      <c r="J8" s="196">
        <v>0.028551867744233</v>
      </c>
      <c r="K8" s="196">
        <v>-3.46735772196865E-4</v>
      </c>
      <c r="L8" s="196">
        <v>0.179696039128037</v>
      </c>
      <c r="M8" s="196">
        <v>0.0120858410925684</v>
      </c>
      <c r="N8" s="196">
        <v>-0.236584299819012</v>
      </c>
      <c r="O8" s="196">
        <v>0.0103840866758399</v>
      </c>
      <c r="P8" s="196">
        <v>-0.0801809723557614</v>
      </c>
    </row>
    <row r="9" ht="15.75" customHeight="1">
      <c r="A9" s="196" t="s">
        <v>255</v>
      </c>
      <c r="B9" s="196" t="str">
        <f t="shared" si="1"/>
        <v>SmallOffice_Pre1980_2A_74_16_19_0_4_17</v>
      </c>
      <c r="C9" s="196">
        <v>74.0</v>
      </c>
      <c r="D9" s="196">
        <v>16.0</v>
      </c>
      <c r="E9" s="196">
        <v>19.0</v>
      </c>
      <c r="F9" s="196">
        <v>0.0</v>
      </c>
      <c r="G9" s="196">
        <v>4.0</v>
      </c>
      <c r="H9" s="196">
        <v>17.0</v>
      </c>
      <c r="I9" s="243">
        <v>9.90618058895798E-5</v>
      </c>
      <c r="J9" s="196">
        <v>0.122110699895575</v>
      </c>
      <c r="K9" s="196">
        <v>-4.40035072906003E-4</v>
      </c>
      <c r="L9" s="196">
        <v>0.172275064335222</v>
      </c>
      <c r="M9" s="196">
        <v>0.00667379266408965</v>
      </c>
      <c r="N9" s="196">
        <v>-0.0845415447585893</v>
      </c>
      <c r="O9" s="196">
        <v>0.00892166134421594</v>
      </c>
      <c r="P9" s="196">
        <v>-0.233059249207932</v>
      </c>
    </row>
    <row r="10" ht="15.75" customHeight="1">
      <c r="A10" s="196" t="s">
        <v>255</v>
      </c>
      <c r="B10" s="196" t="str">
        <f t="shared" si="1"/>
        <v>SmallOffice_Pre1980_2A_74_16_19_0_4_18</v>
      </c>
      <c r="C10" s="196">
        <v>74.0</v>
      </c>
      <c r="D10" s="196">
        <v>16.0</v>
      </c>
      <c r="E10" s="196">
        <v>19.0</v>
      </c>
      <c r="F10" s="196">
        <v>0.0</v>
      </c>
      <c r="G10" s="196">
        <v>4.0</v>
      </c>
      <c r="H10" s="196">
        <v>18.0</v>
      </c>
      <c r="I10" s="196">
        <v>0.0021061564289296</v>
      </c>
      <c r="J10" s="196">
        <v>-0.0168210397248924</v>
      </c>
      <c r="K10" s="196">
        <v>-4.32368011114031E-4</v>
      </c>
      <c r="L10" s="196">
        <v>0.177464930923938</v>
      </c>
      <c r="M10" s="196">
        <v>0.0100382748129029</v>
      </c>
      <c r="N10" s="196">
        <v>-0.389660189287318</v>
      </c>
      <c r="O10" s="196">
        <v>0.00805749927386273</v>
      </c>
      <c r="P10" s="196">
        <v>-0.229510685445273</v>
      </c>
    </row>
    <row r="11" ht="15.75" customHeight="1">
      <c r="A11" s="196" t="s">
        <v>256</v>
      </c>
      <c r="B11" s="196" t="str">
        <f t="shared" si="1"/>
        <v>SmallOffice_Pre1980_2A_74_16_19_0_6_16</v>
      </c>
      <c r="C11" s="196">
        <v>74.0</v>
      </c>
      <c r="D11" s="196">
        <v>16.0</v>
      </c>
      <c r="E11" s="196">
        <v>19.0</v>
      </c>
      <c r="F11" s="196">
        <v>0.0</v>
      </c>
      <c r="G11" s="196">
        <v>6.0</v>
      </c>
      <c r="H11" s="196">
        <v>16.0</v>
      </c>
      <c r="I11" s="196">
        <v>0.00227120055068985</v>
      </c>
      <c r="J11" s="196">
        <v>0.0314635777205223</v>
      </c>
      <c r="K11" s="196">
        <v>0.00124536185157794</v>
      </c>
      <c r="L11" s="196">
        <v>0.116013240797391</v>
      </c>
      <c r="M11" s="196">
        <v>0.016992662723918</v>
      </c>
      <c r="N11" s="196">
        <v>-0.358873052394296</v>
      </c>
      <c r="O11" s="196">
        <v>0.0252499040164633</v>
      </c>
      <c r="P11" s="196">
        <v>-0.955447238068927</v>
      </c>
    </row>
    <row r="12" ht="15.75" customHeight="1">
      <c r="A12" s="196" t="s">
        <v>256</v>
      </c>
      <c r="B12" s="196" t="str">
        <f t="shared" si="1"/>
        <v>SmallOffice_Pre1980_2A_74_16_19_0_6_17</v>
      </c>
      <c r="C12" s="196">
        <v>74.0</v>
      </c>
      <c r="D12" s="196">
        <v>16.0</v>
      </c>
      <c r="E12" s="196">
        <v>19.0</v>
      </c>
      <c r="F12" s="196">
        <v>0.0</v>
      </c>
      <c r="G12" s="196">
        <v>6.0</v>
      </c>
      <c r="H12" s="196">
        <v>17.0</v>
      </c>
      <c r="I12" s="196">
        <v>3.36604071779623E-4</v>
      </c>
      <c r="J12" s="196">
        <v>0.161409834880769</v>
      </c>
      <c r="K12" s="196">
        <v>-2.31719615750011E-4</v>
      </c>
      <c r="L12" s="196">
        <v>0.217936794821671</v>
      </c>
      <c r="M12" s="196">
        <v>0.0101728773687618</v>
      </c>
      <c r="N12" s="196">
        <v>-0.163530796040298</v>
      </c>
      <c r="O12" s="196">
        <v>0.0147678869974981</v>
      </c>
      <c r="P12" s="196">
        <v>-0.481855006309347</v>
      </c>
    </row>
    <row r="13" ht="15.75" customHeight="1">
      <c r="A13" s="196" t="s">
        <v>256</v>
      </c>
      <c r="B13" s="196" t="str">
        <f t="shared" si="1"/>
        <v>SmallOffice_Pre1980_2A_74_16_19_0_6_18</v>
      </c>
      <c r="C13" s="196">
        <v>74.0</v>
      </c>
      <c r="D13" s="196">
        <v>16.0</v>
      </c>
      <c r="E13" s="196">
        <v>19.0</v>
      </c>
      <c r="F13" s="196">
        <v>0.0</v>
      </c>
      <c r="G13" s="196">
        <v>6.0</v>
      </c>
      <c r="H13" s="196">
        <v>18.0</v>
      </c>
      <c r="I13" s="196">
        <v>0.00375117957489245</v>
      </c>
      <c r="J13" s="196">
        <v>-0.0768213856146414</v>
      </c>
      <c r="K13" s="196">
        <v>-3.61678590897652E-4</v>
      </c>
      <c r="L13" s="196">
        <v>0.236951973565253</v>
      </c>
      <c r="M13" s="196">
        <v>0.0160296606936391</v>
      </c>
      <c r="N13" s="196">
        <v>-0.676582436348245</v>
      </c>
      <c r="O13" s="196">
        <v>0.0126772732099652</v>
      </c>
      <c r="P13" s="196">
        <v>-0.409574327501675</v>
      </c>
    </row>
    <row r="14" ht="15.75" customHeight="1">
      <c r="A14" s="196" t="s">
        <v>257</v>
      </c>
      <c r="B14" s="196" t="str">
        <f t="shared" si="1"/>
        <v>SmallOffice_Pre1980_2A_74_16_19_2_0_16</v>
      </c>
      <c r="C14" s="196">
        <v>74.0</v>
      </c>
      <c r="D14" s="196">
        <v>16.0</v>
      </c>
      <c r="E14" s="196">
        <v>19.0</v>
      </c>
      <c r="F14" s="196">
        <v>2.0</v>
      </c>
      <c r="G14" s="196">
        <v>0.0</v>
      </c>
      <c r="H14" s="196">
        <v>16.0</v>
      </c>
      <c r="I14" s="196">
        <v>3.18982090715068E-4</v>
      </c>
      <c r="J14" s="196">
        <v>0.0115323335570058</v>
      </c>
      <c r="K14" s="196">
        <v>-4.10584130294408E-4</v>
      </c>
      <c r="L14" s="196">
        <v>0.0691621777444601</v>
      </c>
      <c r="M14" s="196">
        <v>0.00262843339343166</v>
      </c>
      <c r="N14" s="196">
        <v>-0.0362126706433577</v>
      </c>
      <c r="O14" s="196">
        <v>3.4913581161433E-4</v>
      </c>
      <c r="P14" s="196">
        <v>0.152990912832753</v>
      </c>
    </row>
    <row r="15" ht="15.75" customHeight="1">
      <c r="A15" s="196" t="s">
        <v>257</v>
      </c>
      <c r="B15" s="196" t="str">
        <f t="shared" si="1"/>
        <v>SmallOffice_Pre1980_2A_74_16_19_2_0_17</v>
      </c>
      <c r="C15" s="196">
        <v>74.0</v>
      </c>
      <c r="D15" s="196">
        <v>16.0</v>
      </c>
      <c r="E15" s="196">
        <v>19.0</v>
      </c>
      <c r="F15" s="196">
        <v>2.0</v>
      </c>
      <c r="G15" s="196">
        <v>0.0</v>
      </c>
      <c r="H15" s="196">
        <v>17.0</v>
      </c>
      <c r="I15" s="196">
        <v>-1.39481721013956E-4</v>
      </c>
      <c r="J15" s="196">
        <v>0.027333064291984</v>
      </c>
      <c r="K15" s="196">
        <v>-2.92214441246562E-4</v>
      </c>
      <c r="L15" s="196">
        <v>0.0405893060003705</v>
      </c>
      <c r="M15" s="196">
        <v>4.45177048840513E-4</v>
      </c>
      <c r="N15" s="196">
        <v>0.0209752279954735</v>
      </c>
      <c r="O15" s="243">
        <v>2.70897982881412E-5</v>
      </c>
      <c r="P15" s="196">
        <v>0.0586041890039131</v>
      </c>
    </row>
    <row r="16" ht="15.75" customHeight="1">
      <c r="A16" s="196" t="s">
        <v>257</v>
      </c>
      <c r="B16" s="196" t="str">
        <f t="shared" si="1"/>
        <v>SmallOffice_Pre1980_2A_74_16_19_2_0_18</v>
      </c>
      <c r="C16" s="196">
        <v>74.0</v>
      </c>
      <c r="D16" s="196">
        <v>16.0</v>
      </c>
      <c r="E16" s="196">
        <v>19.0</v>
      </c>
      <c r="F16" s="196">
        <v>2.0</v>
      </c>
      <c r="G16" s="196">
        <v>0.0</v>
      </c>
      <c r="H16" s="196">
        <v>18.0</v>
      </c>
      <c r="I16" s="196">
        <v>1.15221792413771E-4</v>
      </c>
      <c r="J16" s="196">
        <v>0.00475431951644944</v>
      </c>
      <c r="K16" s="196">
        <v>-2.20210419602505E-4</v>
      </c>
      <c r="L16" s="196">
        <v>0.0296871496527677</v>
      </c>
      <c r="M16" s="196">
        <v>7.63963752059807E-4</v>
      </c>
      <c r="N16" s="196">
        <v>-0.022812824093076</v>
      </c>
      <c r="O16" s="243">
        <v>7.84981427819385E-6</v>
      </c>
      <c r="P16" s="196">
        <v>0.0345034805750678</v>
      </c>
    </row>
    <row r="17" ht="15.75" customHeight="1">
      <c r="A17" s="196" t="s">
        <v>258</v>
      </c>
      <c r="B17" s="196" t="str">
        <f t="shared" si="1"/>
        <v>SmallOffice_Pre1980_2A_74_16_19_2_2_16</v>
      </c>
      <c r="C17" s="196">
        <v>74.0</v>
      </c>
      <c r="D17" s="196">
        <v>16.0</v>
      </c>
      <c r="E17" s="196">
        <v>19.0</v>
      </c>
      <c r="F17" s="196">
        <v>2.0</v>
      </c>
      <c r="G17" s="196">
        <v>2.0</v>
      </c>
      <c r="H17" s="196">
        <v>16.0</v>
      </c>
      <c r="I17" s="196">
        <v>0.00122771242918924</v>
      </c>
      <c r="J17" s="196">
        <v>0.0227213787227092</v>
      </c>
      <c r="K17" s="196">
        <v>-7.73018064353034E-4</v>
      </c>
      <c r="L17" s="196">
        <v>0.174985422371039</v>
      </c>
      <c r="M17" s="196">
        <v>0.00935317936491749</v>
      </c>
      <c r="N17" s="196">
        <v>-0.180719416646426</v>
      </c>
      <c r="O17" s="196">
        <v>0.00457559154445484</v>
      </c>
      <c r="P17" s="196">
        <v>0.193549553389075</v>
      </c>
    </row>
    <row r="18" ht="15.75" customHeight="1">
      <c r="A18" s="196" t="s">
        <v>258</v>
      </c>
      <c r="B18" s="196" t="str">
        <f t="shared" si="1"/>
        <v>SmallOffice_Pre1980_2A_74_16_19_2_2_17</v>
      </c>
      <c r="C18" s="196">
        <v>74.0</v>
      </c>
      <c r="D18" s="196">
        <v>16.0</v>
      </c>
      <c r="E18" s="196">
        <v>19.0</v>
      </c>
      <c r="F18" s="196">
        <v>2.0</v>
      </c>
      <c r="G18" s="196">
        <v>2.0</v>
      </c>
      <c r="H18" s="196">
        <v>17.0</v>
      </c>
      <c r="I18" s="196">
        <v>-1.67726192435767E-4</v>
      </c>
      <c r="J18" s="196">
        <v>0.0960618394873105</v>
      </c>
      <c r="K18" s="196">
        <v>-5.75074176277056E-4</v>
      </c>
      <c r="L18" s="196">
        <v>0.132738459281487</v>
      </c>
      <c r="M18" s="196">
        <v>0.00365085446864729</v>
      </c>
      <c r="N18" s="196">
        <v>-0.00555957309091953</v>
      </c>
      <c r="O18" s="196">
        <v>0.00431785941206382</v>
      </c>
      <c r="P18" s="196">
        <v>-0.0411324846442848</v>
      </c>
    </row>
    <row r="19" ht="15.75" customHeight="1">
      <c r="A19" s="196" t="s">
        <v>258</v>
      </c>
      <c r="B19" s="196" t="str">
        <f t="shared" si="1"/>
        <v>SmallOffice_Pre1980_2A_74_16_19_2_2_18</v>
      </c>
      <c r="C19" s="196">
        <v>74.0</v>
      </c>
      <c r="D19" s="196">
        <v>16.0</v>
      </c>
      <c r="E19" s="196">
        <v>19.0</v>
      </c>
      <c r="F19" s="196">
        <v>2.0</v>
      </c>
      <c r="G19" s="196">
        <v>2.0</v>
      </c>
      <c r="H19" s="196">
        <v>18.0</v>
      </c>
      <c r="I19" s="196">
        <v>0.0011116795397578</v>
      </c>
      <c r="J19" s="196">
        <v>0.00327048546629855</v>
      </c>
      <c r="K19" s="196">
        <v>-5.25256220943969E-4</v>
      </c>
      <c r="L19" s="196">
        <v>0.127235488611156</v>
      </c>
      <c r="M19" s="196">
        <v>0.00575832272669952</v>
      </c>
      <c r="N19" s="196">
        <v>-0.20883726930252</v>
      </c>
      <c r="O19" s="196">
        <v>0.00385060757511785</v>
      </c>
      <c r="P19" s="196">
        <v>-0.0605692796320654</v>
      </c>
    </row>
    <row r="20" ht="15.75" customHeight="1">
      <c r="A20" s="196" t="s">
        <v>259</v>
      </c>
      <c r="B20" s="196" t="str">
        <f t="shared" si="1"/>
        <v>SmallOffice_Pre1980_2A_74_16_19_2_4_16</v>
      </c>
      <c r="C20" s="196">
        <v>74.0</v>
      </c>
      <c r="D20" s="196">
        <v>16.0</v>
      </c>
      <c r="E20" s="196">
        <v>19.0</v>
      </c>
      <c r="F20" s="196">
        <v>2.0</v>
      </c>
      <c r="G20" s="196">
        <v>4.0</v>
      </c>
      <c r="H20" s="196">
        <v>16.0</v>
      </c>
      <c r="I20" s="196">
        <v>0.002029516066835</v>
      </c>
      <c r="J20" s="196">
        <v>0.0230342100763563</v>
      </c>
      <c r="K20" s="196">
        <v>1.85428502129795E-4</v>
      </c>
      <c r="L20" s="196">
        <v>0.173123225139746</v>
      </c>
      <c r="M20" s="196">
        <v>0.0150012887967757</v>
      </c>
      <c r="N20" s="196">
        <v>-0.329828812956306</v>
      </c>
      <c r="O20" s="196">
        <v>0.0163602392833933</v>
      </c>
      <c r="P20" s="196">
        <v>-0.378774033784623</v>
      </c>
    </row>
    <row r="21" ht="15.75" customHeight="1">
      <c r="A21" s="196" t="s">
        <v>259</v>
      </c>
      <c r="B21" s="196" t="str">
        <f t="shared" si="1"/>
        <v>SmallOffice_Pre1980_2A_74_16_19_2_4_17</v>
      </c>
      <c r="C21" s="196">
        <v>74.0</v>
      </c>
      <c r="D21" s="196">
        <v>16.0</v>
      </c>
      <c r="E21" s="196">
        <v>19.0</v>
      </c>
      <c r="F21" s="196">
        <v>2.0</v>
      </c>
      <c r="G21" s="196">
        <v>4.0</v>
      </c>
      <c r="H21" s="196">
        <v>17.0</v>
      </c>
      <c r="I21" s="196">
        <v>1.33875803255875E-4</v>
      </c>
      <c r="J21" s="196">
        <v>0.135294702867657</v>
      </c>
      <c r="K21" s="196">
        <v>-5.44111882444806E-4</v>
      </c>
      <c r="L21" s="196">
        <v>0.197544033807677</v>
      </c>
      <c r="M21" s="196">
        <v>0.00756185257030657</v>
      </c>
      <c r="N21" s="196">
        <v>-0.100268936546355</v>
      </c>
      <c r="O21" s="196">
        <v>0.00975292107994845</v>
      </c>
      <c r="P21" s="196">
        <v>-0.239575790394374</v>
      </c>
    </row>
    <row r="22" ht="15.75" customHeight="1">
      <c r="A22" s="196" t="s">
        <v>259</v>
      </c>
      <c r="B22" s="196" t="str">
        <f t="shared" si="1"/>
        <v>SmallOffice_Pre1980_2A_74_16_19_2_4_18</v>
      </c>
      <c r="C22" s="196">
        <v>74.0</v>
      </c>
      <c r="D22" s="196">
        <v>16.0</v>
      </c>
      <c r="E22" s="196">
        <v>19.0</v>
      </c>
      <c r="F22" s="196">
        <v>2.0</v>
      </c>
      <c r="G22" s="196">
        <v>4.0</v>
      </c>
      <c r="H22" s="196">
        <v>18.0</v>
      </c>
      <c r="I22" s="196">
        <v>0.00231722554959831</v>
      </c>
      <c r="J22" s="196">
        <v>-0.02046038539447</v>
      </c>
      <c r="K22" s="196">
        <v>-5.79406489943868E-4</v>
      </c>
      <c r="L22" s="196">
        <v>0.201213758439438</v>
      </c>
      <c r="M22" s="196">
        <v>0.0109645344476997</v>
      </c>
      <c r="N22" s="196">
        <v>-0.427805041931739</v>
      </c>
      <c r="O22" s="196">
        <v>0.00831287347670794</v>
      </c>
      <c r="P22" s="196">
        <v>-0.214952517405261</v>
      </c>
    </row>
    <row r="23" ht="15.75" customHeight="1">
      <c r="A23" s="196" t="s">
        <v>260</v>
      </c>
      <c r="B23" s="196" t="str">
        <f t="shared" si="1"/>
        <v>SmallOffice_Pre1980_2A_74_16_19_2_6_16</v>
      </c>
      <c r="C23" s="196">
        <v>74.0</v>
      </c>
      <c r="D23" s="196">
        <v>16.0</v>
      </c>
      <c r="E23" s="196">
        <v>19.0</v>
      </c>
      <c r="F23" s="196">
        <v>2.0</v>
      </c>
      <c r="G23" s="196">
        <v>6.0</v>
      </c>
      <c r="H23" s="196">
        <v>16.0</v>
      </c>
      <c r="I23" s="196">
        <v>0.00351293299982276</v>
      </c>
      <c r="J23" s="196">
        <v>-0.0453405334527246</v>
      </c>
      <c r="K23" s="196">
        <v>0.00124403263278939</v>
      </c>
      <c r="L23" s="196">
        <v>0.140065189615457</v>
      </c>
      <c r="M23" s="196">
        <v>0.0230235049932113</v>
      </c>
      <c r="N23" s="196">
        <v>-0.736767088683554</v>
      </c>
      <c r="O23" s="196">
        <v>0.0272112791715779</v>
      </c>
      <c r="P23" s="196">
        <v>-0.993926849790699</v>
      </c>
    </row>
    <row r="24" ht="15.75" customHeight="1">
      <c r="A24" s="196" t="s">
        <v>260</v>
      </c>
      <c r="B24" s="196" t="str">
        <f t="shared" si="1"/>
        <v>SmallOffice_Pre1980_2A_74_16_19_2_6_17</v>
      </c>
      <c r="C24" s="196">
        <v>74.0</v>
      </c>
      <c r="D24" s="196">
        <v>16.0</v>
      </c>
      <c r="E24" s="196">
        <v>19.0</v>
      </c>
      <c r="F24" s="196">
        <v>2.0</v>
      </c>
      <c r="G24" s="196">
        <v>6.0</v>
      </c>
      <c r="H24" s="196">
        <v>17.0</v>
      </c>
      <c r="I24" s="196">
        <v>6.28087827386117E-4</v>
      </c>
      <c r="J24" s="196">
        <v>0.154843158543296</v>
      </c>
      <c r="K24" s="196">
        <v>-4.76123484594058E-4</v>
      </c>
      <c r="L24" s="196">
        <v>0.253898276285486</v>
      </c>
      <c r="M24" s="196">
        <v>0.0117814085779171</v>
      </c>
      <c r="N24" s="196">
        <v>-0.234926073928357</v>
      </c>
      <c r="O24" s="196">
        <v>0.0149016100724649</v>
      </c>
      <c r="P24" s="196">
        <v>-0.434268050419745</v>
      </c>
    </row>
    <row r="25" ht="15.75" customHeight="1">
      <c r="A25" s="196" t="s">
        <v>260</v>
      </c>
      <c r="B25" s="196" t="str">
        <f t="shared" si="1"/>
        <v>SmallOffice_Pre1980_2A_74_16_19_2_6_18</v>
      </c>
      <c r="C25" s="196">
        <v>74.0</v>
      </c>
      <c r="D25" s="196">
        <v>16.0</v>
      </c>
      <c r="E25" s="196">
        <v>19.0</v>
      </c>
      <c r="F25" s="196">
        <v>2.0</v>
      </c>
      <c r="G25" s="196">
        <v>6.0</v>
      </c>
      <c r="H25" s="196">
        <v>18.0</v>
      </c>
      <c r="I25" s="196">
        <v>0.00430604948343704</v>
      </c>
      <c r="J25" s="196">
        <v>-0.105676958224972</v>
      </c>
      <c r="K25" s="196">
        <v>-5.58273987024641E-4</v>
      </c>
      <c r="L25" s="196">
        <v>0.264419233726684</v>
      </c>
      <c r="M25" s="196">
        <v>0.0177217745508824</v>
      </c>
      <c r="N25" s="196">
        <v>-0.770919468569395</v>
      </c>
      <c r="O25" s="196">
        <v>0.0127384940458749</v>
      </c>
      <c r="P25" s="196">
        <v>-0.380224526705058</v>
      </c>
    </row>
    <row r="26" ht="15.75" customHeight="1">
      <c r="A26" s="196" t="s">
        <v>261</v>
      </c>
      <c r="B26" s="196" t="str">
        <f t="shared" si="1"/>
        <v>SmallOffice_Post1980_2A_74_16_19_0_0_16</v>
      </c>
      <c r="C26" s="196">
        <v>74.0</v>
      </c>
      <c r="D26" s="196">
        <v>16.0</v>
      </c>
      <c r="E26" s="196">
        <v>19.0</v>
      </c>
      <c r="F26" s="196">
        <v>0.0</v>
      </c>
      <c r="G26" s="196">
        <v>0.0</v>
      </c>
      <c r="H26" s="196">
        <v>16.0</v>
      </c>
      <c r="I26" s="196">
        <v>0.0</v>
      </c>
      <c r="J26" s="196">
        <v>0.0</v>
      </c>
      <c r="K26" s="196">
        <v>0.0</v>
      </c>
      <c r="L26" s="196">
        <v>0.0</v>
      </c>
      <c r="M26" s="196">
        <v>0.0</v>
      </c>
      <c r="N26" s="196">
        <v>0.0</v>
      </c>
      <c r="O26" s="196">
        <v>0.0</v>
      </c>
      <c r="P26" s="196">
        <v>0.0</v>
      </c>
    </row>
    <row r="27" ht="15.75" customHeight="1">
      <c r="A27" s="196" t="s">
        <v>261</v>
      </c>
      <c r="B27" s="196" t="str">
        <f t="shared" si="1"/>
        <v>SmallOffice_Post1980_2A_74_16_19_0_0_17</v>
      </c>
      <c r="C27" s="196">
        <v>74.0</v>
      </c>
      <c r="D27" s="196">
        <v>16.0</v>
      </c>
      <c r="E27" s="196">
        <v>19.0</v>
      </c>
      <c r="F27" s="196">
        <v>0.0</v>
      </c>
      <c r="G27" s="196">
        <v>0.0</v>
      </c>
      <c r="H27" s="196">
        <v>17.0</v>
      </c>
      <c r="I27" s="196">
        <v>0.0</v>
      </c>
      <c r="J27" s="196">
        <v>0.0</v>
      </c>
      <c r="K27" s="196">
        <v>0.0</v>
      </c>
      <c r="L27" s="196">
        <v>0.0</v>
      </c>
      <c r="M27" s="196">
        <v>0.0</v>
      </c>
      <c r="N27" s="196">
        <v>0.0</v>
      </c>
      <c r="O27" s="196">
        <v>0.0</v>
      </c>
      <c r="P27" s="196">
        <v>0.0</v>
      </c>
    </row>
    <row r="28" ht="15.75" customHeight="1">
      <c r="A28" s="196" t="s">
        <v>261</v>
      </c>
      <c r="B28" s="196" t="str">
        <f t="shared" si="1"/>
        <v>SmallOffice_Post1980_2A_74_16_19_0_0_18</v>
      </c>
      <c r="C28" s="196">
        <v>74.0</v>
      </c>
      <c r="D28" s="196">
        <v>16.0</v>
      </c>
      <c r="E28" s="196">
        <v>19.0</v>
      </c>
      <c r="F28" s="196">
        <v>0.0</v>
      </c>
      <c r="G28" s="196">
        <v>0.0</v>
      </c>
      <c r="H28" s="196">
        <v>18.0</v>
      </c>
      <c r="I28" s="196">
        <v>0.0</v>
      </c>
      <c r="J28" s="196">
        <v>0.0</v>
      </c>
      <c r="K28" s="196">
        <v>0.0</v>
      </c>
      <c r="L28" s="196">
        <v>0.0</v>
      </c>
      <c r="M28" s="196">
        <v>0.0</v>
      </c>
      <c r="N28" s="196">
        <v>0.0</v>
      </c>
      <c r="O28" s="196">
        <v>0.0</v>
      </c>
      <c r="P28" s="196">
        <v>0.0</v>
      </c>
    </row>
    <row r="29" ht="15.75" customHeight="1">
      <c r="A29" s="196" t="s">
        <v>262</v>
      </c>
      <c r="B29" s="196" t="str">
        <f t="shared" si="1"/>
        <v>SmallOffice_Post1980_2A_74_16_19_0_2_16</v>
      </c>
      <c r="C29" s="196">
        <v>74.0</v>
      </c>
      <c r="D29" s="196">
        <v>16.0</v>
      </c>
      <c r="E29" s="196">
        <v>19.0</v>
      </c>
      <c r="F29" s="196">
        <v>0.0</v>
      </c>
      <c r="G29" s="196">
        <v>2.0</v>
      </c>
      <c r="H29" s="196">
        <v>16.0</v>
      </c>
      <c r="I29" s="243">
        <v>8.88664756348828E-5</v>
      </c>
      <c r="J29" s="196">
        <v>0.0780421127884196</v>
      </c>
      <c r="K29" s="196">
        <v>1.64721747834699E-4</v>
      </c>
      <c r="L29" s="196">
        <v>0.0764024586132489</v>
      </c>
      <c r="M29" s="196">
        <v>0.00307759094415473</v>
      </c>
      <c r="N29" s="196">
        <v>0.121221031944554</v>
      </c>
      <c r="O29" s="196">
        <v>0.00666730007662068</v>
      </c>
      <c r="P29" s="196">
        <v>-0.131337783684572</v>
      </c>
    </row>
    <row r="30" ht="15.75" customHeight="1">
      <c r="A30" s="196" t="s">
        <v>262</v>
      </c>
      <c r="B30" s="196" t="str">
        <f t="shared" si="1"/>
        <v>SmallOffice_Post1980_2A_74_16_19_0_2_17</v>
      </c>
      <c r="C30" s="196">
        <v>74.0</v>
      </c>
      <c r="D30" s="196">
        <v>16.0</v>
      </c>
      <c r="E30" s="196">
        <v>19.0</v>
      </c>
      <c r="F30" s="196">
        <v>0.0</v>
      </c>
      <c r="G30" s="196">
        <v>2.0</v>
      </c>
      <c r="H30" s="196">
        <v>17.0</v>
      </c>
      <c r="I30" s="196">
        <v>-2.20273201491356E-4</v>
      </c>
      <c r="J30" s="196">
        <v>0.0993820462039737</v>
      </c>
      <c r="K30" s="196">
        <v>-2.7046225033444E-4</v>
      </c>
      <c r="L30" s="196">
        <v>0.10814118370615</v>
      </c>
      <c r="M30" s="196">
        <v>0.00253832368705077</v>
      </c>
      <c r="N30" s="196">
        <v>0.0430221092555632</v>
      </c>
      <c r="O30" s="196">
        <v>0.00440711194586044</v>
      </c>
      <c r="P30" s="196">
        <v>-0.0826344245316452</v>
      </c>
    </row>
    <row r="31" ht="15.75" customHeight="1">
      <c r="A31" s="196" t="s">
        <v>262</v>
      </c>
      <c r="B31" s="196" t="str">
        <f t="shared" si="1"/>
        <v>SmallOffice_Post1980_2A_74_16_19_0_2_18</v>
      </c>
      <c r="C31" s="196">
        <v>74.0</v>
      </c>
      <c r="D31" s="196">
        <v>16.0</v>
      </c>
      <c r="E31" s="196">
        <v>19.0</v>
      </c>
      <c r="F31" s="196">
        <v>0.0</v>
      </c>
      <c r="G31" s="196">
        <v>2.0</v>
      </c>
      <c r="H31" s="196">
        <v>18.0</v>
      </c>
      <c r="I31" s="196">
        <v>9.40815649793398E-4</v>
      </c>
      <c r="J31" s="196">
        <v>0.021218656853369</v>
      </c>
      <c r="K31" s="196">
        <v>-4.22925048885191E-4</v>
      </c>
      <c r="L31" s="196">
        <v>0.124616629668429</v>
      </c>
      <c r="M31" s="196">
        <v>0.00545531094492627</v>
      </c>
      <c r="N31" s="196">
        <v>-0.199120021852087</v>
      </c>
      <c r="O31" s="196">
        <v>0.00374538512346789</v>
      </c>
      <c r="P31" s="196">
        <v>-0.0657947238616601</v>
      </c>
    </row>
    <row r="32" ht="15.75" customHeight="1">
      <c r="A32" s="196" t="s">
        <v>263</v>
      </c>
      <c r="B32" s="196" t="str">
        <f t="shared" si="1"/>
        <v>SmallOffice_Post1980_2A_74_16_19_0_4_16</v>
      </c>
      <c r="C32" s="196">
        <v>74.0</v>
      </c>
      <c r="D32" s="196">
        <v>16.0</v>
      </c>
      <c r="E32" s="196">
        <v>19.0</v>
      </c>
      <c r="F32" s="196">
        <v>0.0</v>
      </c>
      <c r="G32" s="196">
        <v>4.0</v>
      </c>
      <c r="H32" s="196">
        <v>16.0</v>
      </c>
      <c r="I32" s="196">
        <v>0.00149924011347854</v>
      </c>
      <c r="J32" s="196">
        <v>0.0543754789897859</v>
      </c>
      <c r="K32" s="196">
        <v>8.17654971567414E-4</v>
      </c>
      <c r="L32" s="196">
        <v>0.108879793614652</v>
      </c>
      <c r="M32" s="196">
        <v>0.011123354290354</v>
      </c>
      <c r="N32" s="196">
        <v>-0.141962295712844</v>
      </c>
      <c r="O32" s="196">
        <v>0.0156014200000871</v>
      </c>
      <c r="P32" s="196">
        <v>-0.465805841374655</v>
      </c>
    </row>
    <row r="33" ht="15.75" customHeight="1">
      <c r="A33" s="196" t="s">
        <v>263</v>
      </c>
      <c r="B33" s="196" t="str">
        <f t="shared" si="1"/>
        <v>SmallOffice_Post1980_2A_74_16_19_0_4_17</v>
      </c>
      <c r="C33" s="196">
        <v>74.0</v>
      </c>
      <c r="D33" s="196">
        <v>16.0</v>
      </c>
      <c r="E33" s="196">
        <v>19.0</v>
      </c>
      <c r="F33" s="196">
        <v>0.0</v>
      </c>
      <c r="G33" s="196">
        <v>4.0</v>
      </c>
      <c r="H33" s="196">
        <v>17.0</v>
      </c>
      <c r="I33" s="196">
        <v>-2.1253910731597E-4</v>
      </c>
      <c r="J33" s="196">
        <v>0.17494220800337</v>
      </c>
      <c r="K33" s="196">
        <v>-3.11549925449078E-4</v>
      </c>
      <c r="L33" s="196">
        <v>0.19359306022552</v>
      </c>
      <c r="M33" s="196">
        <v>0.00543895976883157</v>
      </c>
      <c r="N33" s="196">
        <v>0.0401800071339487</v>
      </c>
      <c r="O33" s="196">
        <v>0.00939111383202636</v>
      </c>
      <c r="P33" s="196">
        <v>-0.224557060808192</v>
      </c>
    </row>
    <row r="34" ht="15.75" customHeight="1">
      <c r="A34" s="196" t="s">
        <v>263</v>
      </c>
      <c r="B34" s="196" t="str">
        <f t="shared" si="1"/>
        <v>SmallOffice_Post1980_2A_74_16_19_0_4_18</v>
      </c>
      <c r="C34" s="196">
        <v>74.0</v>
      </c>
      <c r="D34" s="196">
        <v>16.0</v>
      </c>
      <c r="E34" s="196">
        <v>19.0</v>
      </c>
      <c r="F34" s="196">
        <v>0.0</v>
      </c>
      <c r="G34" s="196">
        <v>4.0</v>
      </c>
      <c r="H34" s="196">
        <v>18.0</v>
      </c>
      <c r="I34" s="196">
        <v>0.00275162136461534</v>
      </c>
      <c r="J34" s="196">
        <v>-0.028304668345905</v>
      </c>
      <c r="K34" s="196">
        <v>-6.07972185400064E-4</v>
      </c>
      <c r="L34" s="196">
        <v>0.22523629386574</v>
      </c>
      <c r="M34" s="196">
        <v>0.0123107417413951</v>
      </c>
      <c r="N34" s="196">
        <v>-0.516558162981433</v>
      </c>
      <c r="O34" s="196">
        <v>0.00793674267986371</v>
      </c>
      <c r="P34" s="196">
        <v>-0.179793014312939</v>
      </c>
    </row>
    <row r="35" ht="15.75" customHeight="1">
      <c r="A35" s="196" t="s">
        <v>264</v>
      </c>
      <c r="B35" s="196" t="str">
        <f t="shared" si="1"/>
        <v>SmallOffice_Post1980_2A_74_16_19_0_6_16</v>
      </c>
      <c r="C35" s="196">
        <v>74.0</v>
      </c>
      <c r="D35" s="196">
        <v>16.0</v>
      </c>
      <c r="E35" s="196">
        <v>19.0</v>
      </c>
      <c r="F35" s="196">
        <v>0.0</v>
      </c>
      <c r="G35" s="196">
        <v>6.0</v>
      </c>
      <c r="H35" s="196">
        <v>16.0</v>
      </c>
      <c r="I35" s="196">
        <v>0.00302289972668542</v>
      </c>
      <c r="J35" s="196">
        <v>-0.0063411634706407</v>
      </c>
      <c r="K35" s="196">
        <v>0.00194939727009607</v>
      </c>
      <c r="L35" s="196">
        <v>0.0819764792042981</v>
      </c>
      <c r="M35" s="196">
        <v>0.0188985702496243</v>
      </c>
      <c r="N35" s="196">
        <v>-0.502377804883467</v>
      </c>
      <c r="O35" s="196">
        <v>0.0258218866894838</v>
      </c>
      <c r="P35" s="196">
        <v>-0.998537137256134</v>
      </c>
    </row>
    <row r="36" ht="15.75" customHeight="1">
      <c r="A36" s="196" t="s">
        <v>264</v>
      </c>
      <c r="B36" s="196" t="str">
        <f t="shared" si="1"/>
        <v>SmallOffice_Post1980_2A_74_16_19_0_6_17</v>
      </c>
      <c r="C36" s="196">
        <v>74.0</v>
      </c>
      <c r="D36" s="196">
        <v>16.0</v>
      </c>
      <c r="E36" s="196">
        <v>19.0</v>
      </c>
      <c r="F36" s="196">
        <v>0.0</v>
      </c>
      <c r="G36" s="196">
        <v>6.0</v>
      </c>
      <c r="H36" s="196">
        <v>17.0</v>
      </c>
      <c r="I36" s="196">
        <v>7.19977965400891E-4</v>
      </c>
      <c r="J36" s="196">
        <v>0.1754688212092</v>
      </c>
      <c r="K36" s="196">
        <v>-1.13882771062698E-4</v>
      </c>
      <c r="L36" s="196">
        <v>0.2520323182386</v>
      </c>
      <c r="M36" s="196">
        <v>0.0104252095552128</v>
      </c>
      <c r="N36" s="196">
        <v>-0.135435438283193</v>
      </c>
      <c r="O36" s="196">
        <v>0.0148133707791037</v>
      </c>
      <c r="P36" s="196">
        <v>-0.42626261097761</v>
      </c>
    </row>
    <row r="37" ht="15.75" customHeight="1">
      <c r="A37" s="196" t="s">
        <v>264</v>
      </c>
      <c r="B37" s="196" t="str">
        <f t="shared" si="1"/>
        <v>SmallOffice_Post1980_2A_74_16_19_0_6_18</v>
      </c>
      <c r="C37" s="196">
        <v>74.0</v>
      </c>
      <c r="D37" s="196">
        <v>16.0</v>
      </c>
      <c r="E37" s="196">
        <v>19.0</v>
      </c>
      <c r="F37" s="196">
        <v>0.0</v>
      </c>
      <c r="G37" s="196">
        <v>6.0</v>
      </c>
      <c r="H37" s="196">
        <v>18.0</v>
      </c>
      <c r="I37" s="196">
        <v>0.00728502318545795</v>
      </c>
      <c r="J37" s="196">
        <v>-0.283419082366983</v>
      </c>
      <c r="K37" s="196">
        <v>-6.98833897492629E-4</v>
      </c>
      <c r="L37" s="196">
        <v>0.313204578432549</v>
      </c>
      <c r="M37" s="196">
        <v>0.0241479300517806</v>
      </c>
      <c r="N37" s="196">
        <v>-1.21282997341262</v>
      </c>
      <c r="O37" s="196">
        <v>0.0121290494313543</v>
      </c>
      <c r="P37" s="196">
        <v>-0.30691331928009</v>
      </c>
    </row>
    <row r="38" ht="15.75" customHeight="1">
      <c r="A38" s="196" t="s">
        <v>265</v>
      </c>
      <c r="B38" s="196" t="str">
        <f t="shared" si="1"/>
        <v>SmallOffice_Post1980_2A_74_16_19_2_0_16</v>
      </c>
      <c r="C38" s="196">
        <v>74.0</v>
      </c>
      <c r="D38" s="196">
        <v>16.0</v>
      </c>
      <c r="E38" s="196">
        <v>19.0</v>
      </c>
      <c r="F38" s="196">
        <v>2.0</v>
      </c>
      <c r="G38" s="196">
        <v>0.0</v>
      </c>
      <c r="H38" s="196">
        <v>16.0</v>
      </c>
      <c r="I38" s="196">
        <v>-3.98998630247207E-4</v>
      </c>
      <c r="J38" s="196">
        <v>0.0716229338799263</v>
      </c>
      <c r="K38" s="196">
        <v>-2.32460689306581E-4</v>
      </c>
      <c r="L38" s="196">
        <v>0.0643524324210212</v>
      </c>
      <c r="M38" s="196">
        <v>-1.73315366798831E-4</v>
      </c>
      <c r="N38" s="196">
        <v>0.186740286456164</v>
      </c>
      <c r="O38" s="196">
        <v>0.00158943719563118</v>
      </c>
      <c r="P38" s="196">
        <v>0.0794643058317232</v>
      </c>
    </row>
    <row r="39" ht="15.75" customHeight="1">
      <c r="A39" s="196" t="s">
        <v>265</v>
      </c>
      <c r="B39" s="196" t="str">
        <f t="shared" si="1"/>
        <v>SmallOffice_Post1980_2A_74_16_19_2_0_17</v>
      </c>
      <c r="C39" s="196">
        <v>74.0</v>
      </c>
      <c r="D39" s="196">
        <v>16.0</v>
      </c>
      <c r="E39" s="196">
        <v>19.0</v>
      </c>
      <c r="F39" s="196">
        <v>2.0</v>
      </c>
      <c r="G39" s="196">
        <v>0.0</v>
      </c>
      <c r="H39" s="196">
        <v>17.0</v>
      </c>
      <c r="I39" s="196">
        <v>-2.26462807656437E-4</v>
      </c>
      <c r="J39" s="196">
        <v>0.0407280594200792</v>
      </c>
      <c r="K39" s="196">
        <v>-2.22505404828818E-4</v>
      </c>
      <c r="L39" s="196">
        <v>0.0421410165571712</v>
      </c>
      <c r="M39" s="196">
        <v>3.14148437794889E-4</v>
      </c>
      <c r="N39" s="196">
        <v>0.0434487122412879</v>
      </c>
      <c r="O39" s="196">
        <v>6.38064743274684E-4</v>
      </c>
      <c r="P39" s="196">
        <v>0.0252639629297356</v>
      </c>
    </row>
    <row r="40" ht="15.75" customHeight="1">
      <c r="A40" s="196" t="s">
        <v>265</v>
      </c>
      <c r="B40" s="196" t="str">
        <f t="shared" si="1"/>
        <v>SmallOffice_Post1980_2A_74_16_19_2_0_18</v>
      </c>
      <c r="C40" s="196">
        <v>74.0</v>
      </c>
      <c r="D40" s="196">
        <v>16.0</v>
      </c>
      <c r="E40" s="196">
        <v>19.0</v>
      </c>
      <c r="F40" s="196">
        <v>2.0</v>
      </c>
      <c r="G40" s="196">
        <v>0.0</v>
      </c>
      <c r="H40" s="196">
        <v>18.0</v>
      </c>
      <c r="I40" s="243">
        <v>4.75425748931246E-5</v>
      </c>
      <c r="J40" s="196">
        <v>0.0149095187330807</v>
      </c>
      <c r="K40" s="196">
        <v>-1.80770846447216E-4</v>
      </c>
      <c r="L40" s="196">
        <v>0.0317095148554486</v>
      </c>
      <c r="M40" s="196">
        <v>8.21143832645473E-4</v>
      </c>
      <c r="N40" s="196">
        <v>-0.0193278667237544</v>
      </c>
      <c r="O40" s="196">
        <v>3.84811200966257E-4</v>
      </c>
      <c r="P40" s="196">
        <v>0.0136874895421005</v>
      </c>
    </row>
    <row r="41" ht="15.75" customHeight="1">
      <c r="A41" s="196" t="s">
        <v>266</v>
      </c>
      <c r="B41" s="196" t="str">
        <f t="shared" si="1"/>
        <v>SmallOffice_Post1980_2A_74_16_19_2_2_16</v>
      </c>
      <c r="C41" s="196">
        <v>74.0</v>
      </c>
      <c r="D41" s="196">
        <v>16.0</v>
      </c>
      <c r="E41" s="196">
        <v>19.0</v>
      </c>
      <c r="F41" s="196">
        <v>2.0</v>
      </c>
      <c r="G41" s="196">
        <v>2.0</v>
      </c>
      <c r="H41" s="196">
        <v>16.0</v>
      </c>
      <c r="I41" s="196">
        <v>0.00124992437444604</v>
      </c>
      <c r="J41" s="196">
        <v>0.0386249125248597</v>
      </c>
      <c r="K41" s="196">
        <v>-2.83137823225337E-4</v>
      </c>
      <c r="L41" s="196">
        <v>0.159909490727959</v>
      </c>
      <c r="M41" s="196">
        <v>0.00903837435312835</v>
      </c>
      <c r="N41" s="196">
        <v>-0.128659560442225</v>
      </c>
      <c r="O41" s="196">
        <v>0.0070902572543158</v>
      </c>
      <c r="P41" s="196">
        <v>0.0510908314501583</v>
      </c>
    </row>
    <row r="42" ht="15.75" customHeight="1">
      <c r="A42" s="196" t="s">
        <v>266</v>
      </c>
      <c r="B42" s="196" t="str">
        <f t="shared" si="1"/>
        <v>SmallOffice_Post1980_2A_74_16_19_2_2_17</v>
      </c>
      <c r="C42" s="196">
        <v>74.0</v>
      </c>
      <c r="D42" s="196">
        <v>16.0</v>
      </c>
      <c r="E42" s="196">
        <v>19.0</v>
      </c>
      <c r="F42" s="196">
        <v>2.0</v>
      </c>
      <c r="G42" s="196">
        <v>2.0</v>
      </c>
      <c r="H42" s="196">
        <v>17.0</v>
      </c>
      <c r="I42" s="196">
        <v>-3.34041748111656E-4</v>
      </c>
      <c r="J42" s="196">
        <v>0.1316034851085</v>
      </c>
      <c r="K42" s="196">
        <v>-5.15122363051295E-4</v>
      </c>
      <c r="L42" s="196">
        <v>0.152598805983715</v>
      </c>
      <c r="M42" s="196">
        <v>0.00314711558096013</v>
      </c>
      <c r="N42" s="196">
        <v>0.0643033760834482</v>
      </c>
      <c r="O42" s="196">
        <v>0.00496545469083083</v>
      </c>
      <c r="P42" s="196">
        <v>-0.0490520041980566</v>
      </c>
    </row>
    <row r="43" ht="15.75" customHeight="1">
      <c r="A43" s="196" t="s">
        <v>266</v>
      </c>
      <c r="B43" s="196" t="str">
        <f t="shared" si="1"/>
        <v>SmallOffice_Post1980_2A_74_16_19_2_2_18</v>
      </c>
      <c r="C43" s="196">
        <v>74.0</v>
      </c>
      <c r="D43" s="196">
        <v>16.0</v>
      </c>
      <c r="E43" s="196">
        <v>19.0</v>
      </c>
      <c r="F43" s="196">
        <v>2.0</v>
      </c>
      <c r="G43" s="196">
        <v>2.0</v>
      </c>
      <c r="H43" s="196">
        <v>18.0</v>
      </c>
      <c r="I43" s="196">
        <v>0.00120404251392125</v>
      </c>
      <c r="J43" s="196">
        <v>0.0203414958050567</v>
      </c>
      <c r="K43" s="196">
        <v>-6.17659751465931E-4</v>
      </c>
      <c r="L43" s="196">
        <v>0.157839474229245</v>
      </c>
      <c r="M43" s="196">
        <v>0.00670330048903215</v>
      </c>
      <c r="N43" s="196">
        <v>-0.249672601836695</v>
      </c>
      <c r="O43" s="196">
        <v>0.00409989539335471</v>
      </c>
      <c r="P43" s="196">
        <v>-0.0486058689883317</v>
      </c>
    </row>
    <row r="44" ht="15.75" customHeight="1">
      <c r="A44" s="196" t="s">
        <v>267</v>
      </c>
      <c r="B44" s="196" t="str">
        <f t="shared" si="1"/>
        <v>SmallOffice_Post1980_2A_74_16_19_2_4_16</v>
      </c>
      <c r="C44" s="196">
        <v>74.0</v>
      </c>
      <c r="D44" s="196">
        <v>16.0</v>
      </c>
      <c r="E44" s="196">
        <v>19.0</v>
      </c>
      <c r="F44" s="196">
        <v>2.0</v>
      </c>
      <c r="G44" s="196">
        <v>4.0</v>
      </c>
      <c r="H44" s="196">
        <v>16.0</v>
      </c>
      <c r="I44" s="196">
        <v>0.0021243225212474</v>
      </c>
      <c r="J44" s="196">
        <v>0.0360414913290111</v>
      </c>
      <c r="K44" s="196">
        <v>0.00125252151242087</v>
      </c>
      <c r="L44" s="196">
        <v>0.109508068137147</v>
      </c>
      <c r="M44" s="196">
        <v>0.0145553805384382</v>
      </c>
      <c r="N44" s="196">
        <v>-0.280379985806503</v>
      </c>
      <c r="O44" s="196">
        <v>0.0201049281982023</v>
      </c>
      <c r="P44" s="196">
        <v>-0.666220567685401</v>
      </c>
    </row>
    <row r="45" ht="15.75" customHeight="1">
      <c r="A45" s="196" t="s">
        <v>267</v>
      </c>
      <c r="B45" s="196" t="str">
        <f t="shared" si="1"/>
        <v>SmallOffice_Post1980_2A_74_16_19_2_4_17</v>
      </c>
      <c r="C45" s="196">
        <v>74.0</v>
      </c>
      <c r="D45" s="196">
        <v>16.0</v>
      </c>
      <c r="E45" s="196">
        <v>19.0</v>
      </c>
      <c r="F45" s="196">
        <v>2.0</v>
      </c>
      <c r="G45" s="196">
        <v>4.0</v>
      </c>
      <c r="H45" s="196">
        <v>17.0</v>
      </c>
      <c r="I45" s="196">
        <v>-2.82373242378973E-4</v>
      </c>
      <c r="J45" s="196">
        <v>0.201712108837017</v>
      </c>
      <c r="K45" s="196">
        <v>-4.00016443660088E-4</v>
      </c>
      <c r="L45" s="196">
        <v>0.224053639068361</v>
      </c>
      <c r="M45" s="196">
        <v>0.00610315196241634</v>
      </c>
      <c r="N45" s="196">
        <v>0.051396998525336</v>
      </c>
      <c r="O45" s="196">
        <v>0.0104676619056882</v>
      </c>
      <c r="P45" s="196">
        <v>-0.237147098319595</v>
      </c>
    </row>
    <row r="46" ht="15.75" customHeight="1">
      <c r="A46" s="196" t="s">
        <v>267</v>
      </c>
      <c r="B46" s="196" t="str">
        <f t="shared" si="1"/>
        <v>SmallOffice_Post1980_2A_74_16_19_2_4_18</v>
      </c>
      <c r="C46" s="196">
        <v>74.0</v>
      </c>
      <c r="D46" s="196">
        <v>16.0</v>
      </c>
      <c r="E46" s="196">
        <v>19.0</v>
      </c>
      <c r="F46" s="196">
        <v>2.0</v>
      </c>
      <c r="G46" s="196">
        <v>4.0</v>
      </c>
      <c r="H46" s="196">
        <v>18.0</v>
      </c>
      <c r="I46" s="196">
        <v>0.00339970072297005</v>
      </c>
      <c r="J46" s="196">
        <v>-0.0579991774001749</v>
      </c>
      <c r="K46" s="196">
        <v>-7.58941997846161E-4</v>
      </c>
      <c r="L46" s="196">
        <v>0.254768390165148</v>
      </c>
      <c r="M46" s="196">
        <v>0.0142620258949459</v>
      </c>
      <c r="N46" s="196">
        <v>-0.620103816353989</v>
      </c>
      <c r="O46" s="196">
        <v>0.00841488979932281</v>
      </c>
      <c r="P46" s="196">
        <v>-0.172932978260679</v>
      </c>
    </row>
    <row r="47" ht="15.75" customHeight="1">
      <c r="A47" s="196" t="s">
        <v>268</v>
      </c>
      <c r="B47" s="196" t="str">
        <f t="shared" si="1"/>
        <v>SmallOffice_Post1980_2A_74_16_19_2_6_16</v>
      </c>
      <c r="C47" s="196">
        <v>74.0</v>
      </c>
      <c r="D47" s="196">
        <v>16.0</v>
      </c>
      <c r="E47" s="196">
        <v>19.0</v>
      </c>
      <c r="F47" s="196">
        <v>2.0</v>
      </c>
      <c r="G47" s="196">
        <v>6.0</v>
      </c>
      <c r="H47" s="196">
        <v>16.0</v>
      </c>
      <c r="I47" s="196">
        <v>0.00394807715474344</v>
      </c>
      <c r="J47" s="196">
        <v>-0.0591867917275184</v>
      </c>
      <c r="K47" s="196">
        <v>0.00223300605433027</v>
      </c>
      <c r="L47" s="196">
        <v>0.0830814344557283</v>
      </c>
      <c r="M47" s="196">
        <v>0.0229661097064658</v>
      </c>
      <c r="N47" s="196">
        <v>-0.739384209242648</v>
      </c>
      <c r="O47" s="196">
        <v>0.0287517106606978</v>
      </c>
      <c r="P47" s="196">
        <v>-1.12517468665473</v>
      </c>
    </row>
    <row r="48" ht="15.75" customHeight="1">
      <c r="A48" s="196" t="s">
        <v>268</v>
      </c>
      <c r="B48" s="196" t="str">
        <f t="shared" si="1"/>
        <v>SmallOffice_Post1980_2A_74_16_19_2_6_17</v>
      </c>
      <c r="C48" s="196">
        <v>74.0</v>
      </c>
      <c r="D48" s="196">
        <v>16.0</v>
      </c>
      <c r="E48" s="196">
        <v>19.0</v>
      </c>
      <c r="F48" s="196">
        <v>2.0</v>
      </c>
      <c r="G48" s="196">
        <v>6.0</v>
      </c>
      <c r="H48" s="196">
        <v>17.0</v>
      </c>
      <c r="I48" s="196">
        <v>0.00202401469076147</v>
      </c>
      <c r="J48" s="196">
        <v>0.0993004470682987</v>
      </c>
      <c r="K48" s="196">
        <v>-1.6715513800067E-4</v>
      </c>
      <c r="L48" s="196">
        <v>0.277662309207932</v>
      </c>
      <c r="M48" s="196">
        <v>0.0144897711714229</v>
      </c>
      <c r="N48" s="196">
        <v>-0.37981382635222</v>
      </c>
      <c r="O48" s="196">
        <v>0.0158855593050853</v>
      </c>
      <c r="P48" s="196">
        <v>-0.444698124341269</v>
      </c>
    </row>
    <row r="49" ht="15.75" customHeight="1">
      <c r="A49" s="196" t="s">
        <v>268</v>
      </c>
      <c r="B49" s="196" t="str">
        <f t="shared" si="1"/>
        <v>SmallOffice_Post1980_2A_74_16_19_2_6_18</v>
      </c>
      <c r="C49" s="196">
        <v>74.0</v>
      </c>
      <c r="D49" s="196">
        <v>16.0</v>
      </c>
      <c r="E49" s="196">
        <v>19.0</v>
      </c>
      <c r="F49" s="196">
        <v>2.0</v>
      </c>
      <c r="G49" s="196">
        <v>6.0</v>
      </c>
      <c r="H49" s="196">
        <v>18.0</v>
      </c>
      <c r="I49" s="196">
        <v>0.00860682092549045</v>
      </c>
      <c r="J49" s="196">
        <v>-0.36551095103771</v>
      </c>
      <c r="K49" s="196">
        <v>-8.41535846901563E-4</v>
      </c>
      <c r="L49" s="196">
        <v>0.341812744259929</v>
      </c>
      <c r="M49" s="196">
        <v>0.0273089324797085</v>
      </c>
      <c r="N49" s="196">
        <v>-1.41167645051801</v>
      </c>
      <c r="O49" s="196">
        <v>0.012613218288546</v>
      </c>
      <c r="P49" s="196">
        <v>-0.301153943609576</v>
      </c>
    </row>
    <row r="50" ht="15.75" customHeight="1">
      <c r="A50" s="196" t="s">
        <v>269</v>
      </c>
      <c r="B50" s="196" t="str">
        <f t="shared" si="1"/>
        <v>MediumOffice_Pre1980_2A_74_16_19_0_0_16</v>
      </c>
      <c r="C50" s="196">
        <v>74.0</v>
      </c>
      <c r="D50" s="196">
        <v>16.0</v>
      </c>
      <c r="E50" s="196">
        <v>19.0</v>
      </c>
      <c r="F50" s="196">
        <v>0.0</v>
      </c>
      <c r="G50" s="196">
        <v>0.0</v>
      </c>
      <c r="H50" s="196">
        <v>16.0</v>
      </c>
      <c r="I50" s="196">
        <v>0.0</v>
      </c>
      <c r="J50" s="196">
        <v>0.0</v>
      </c>
      <c r="K50" s="196">
        <v>0.0</v>
      </c>
      <c r="L50" s="196">
        <v>0.0</v>
      </c>
      <c r="M50" s="196">
        <v>0.0</v>
      </c>
      <c r="N50" s="196">
        <v>0.0</v>
      </c>
      <c r="O50" s="196">
        <v>0.0</v>
      </c>
      <c r="P50" s="196">
        <v>0.0</v>
      </c>
    </row>
    <row r="51" ht="15.75" customHeight="1">
      <c r="A51" s="196" t="s">
        <v>269</v>
      </c>
      <c r="B51" s="196" t="str">
        <f t="shared" si="1"/>
        <v>MediumOffice_Pre1980_2A_74_16_19_0_0_17</v>
      </c>
      <c r="C51" s="196">
        <v>74.0</v>
      </c>
      <c r="D51" s="196">
        <v>16.0</v>
      </c>
      <c r="E51" s="196">
        <v>19.0</v>
      </c>
      <c r="F51" s="196">
        <v>0.0</v>
      </c>
      <c r="G51" s="196">
        <v>0.0</v>
      </c>
      <c r="H51" s="196">
        <v>17.0</v>
      </c>
      <c r="I51" s="196">
        <v>0.0</v>
      </c>
      <c r="J51" s="196">
        <v>0.0</v>
      </c>
      <c r="K51" s="196">
        <v>0.0</v>
      </c>
      <c r="L51" s="196">
        <v>0.0</v>
      </c>
      <c r="M51" s="196">
        <v>0.0</v>
      </c>
      <c r="N51" s="196">
        <v>0.0</v>
      </c>
      <c r="O51" s="196">
        <v>0.0</v>
      </c>
      <c r="P51" s="196">
        <v>0.0</v>
      </c>
    </row>
    <row r="52" ht="15.75" customHeight="1">
      <c r="A52" s="196" t="s">
        <v>269</v>
      </c>
      <c r="B52" s="196" t="str">
        <f t="shared" si="1"/>
        <v>MediumOffice_Pre1980_2A_74_16_19_0_0_18</v>
      </c>
      <c r="C52" s="196">
        <v>74.0</v>
      </c>
      <c r="D52" s="196">
        <v>16.0</v>
      </c>
      <c r="E52" s="196">
        <v>19.0</v>
      </c>
      <c r="F52" s="196">
        <v>0.0</v>
      </c>
      <c r="G52" s="196">
        <v>0.0</v>
      </c>
      <c r="H52" s="196">
        <v>18.0</v>
      </c>
      <c r="I52" s="196">
        <v>0.0</v>
      </c>
      <c r="J52" s="196">
        <v>0.0</v>
      </c>
      <c r="K52" s="196">
        <v>0.0</v>
      </c>
      <c r="L52" s="196">
        <v>0.0</v>
      </c>
      <c r="M52" s="196">
        <v>0.0</v>
      </c>
      <c r="N52" s="196">
        <v>0.0</v>
      </c>
      <c r="O52" s="196">
        <v>0.0</v>
      </c>
      <c r="P52" s="196">
        <v>0.0</v>
      </c>
    </row>
    <row r="53" ht="15.75" customHeight="1">
      <c r="A53" s="196" t="s">
        <v>270</v>
      </c>
      <c r="B53" s="196" t="str">
        <f t="shared" si="1"/>
        <v>MediumOffice_Pre1980_2A_74_16_19_0_2_16</v>
      </c>
      <c r="C53" s="196">
        <v>74.0</v>
      </c>
      <c r="D53" s="196">
        <v>16.0</v>
      </c>
      <c r="E53" s="196">
        <v>19.0</v>
      </c>
      <c r="F53" s="196">
        <v>0.0</v>
      </c>
      <c r="G53" s="196">
        <v>2.0</v>
      </c>
      <c r="H53" s="196">
        <v>16.0</v>
      </c>
      <c r="I53" s="196">
        <v>6.19288981499749E-4</v>
      </c>
      <c r="J53" s="196">
        <v>0.0196116242806679</v>
      </c>
      <c r="K53" s="196">
        <v>3.17115432642635E-4</v>
      </c>
      <c r="L53" s="196">
        <v>0.0428337669822766</v>
      </c>
      <c r="M53" s="196">
        <v>0.00424056871471019</v>
      </c>
      <c r="N53" s="196">
        <v>-0.0341611500861986</v>
      </c>
      <c r="O53" s="196">
        <v>0.00604760444199425</v>
      </c>
      <c r="P53" s="196">
        <v>-0.167505987537886</v>
      </c>
    </row>
    <row r="54" ht="15.75" customHeight="1">
      <c r="A54" s="196" t="s">
        <v>270</v>
      </c>
      <c r="B54" s="196" t="str">
        <f t="shared" si="1"/>
        <v>MediumOffice_Pre1980_2A_74_16_19_0_2_17</v>
      </c>
      <c r="C54" s="196">
        <v>74.0</v>
      </c>
      <c r="D54" s="196">
        <v>16.0</v>
      </c>
      <c r="E54" s="196">
        <v>19.0</v>
      </c>
      <c r="F54" s="196">
        <v>0.0</v>
      </c>
      <c r="G54" s="196">
        <v>2.0</v>
      </c>
      <c r="H54" s="196">
        <v>17.0</v>
      </c>
      <c r="I54" s="243">
        <v>3.05063687348524E-5</v>
      </c>
      <c r="J54" s="196">
        <v>0.0539961880374415</v>
      </c>
      <c r="K54" s="243">
        <v>6.9884669028834E-5</v>
      </c>
      <c r="L54" s="196">
        <v>0.0550953496953567</v>
      </c>
      <c r="M54" s="196">
        <v>0.00197989291972227</v>
      </c>
      <c r="N54" s="196">
        <v>0.0508406711373572</v>
      </c>
      <c r="O54" s="196">
        <v>0.00424108218646221</v>
      </c>
      <c r="P54" s="196">
        <v>-0.105621599018202</v>
      </c>
    </row>
    <row r="55" ht="15.75" customHeight="1">
      <c r="A55" s="196" t="s">
        <v>270</v>
      </c>
      <c r="B55" s="196" t="str">
        <f t="shared" si="1"/>
        <v>MediumOffice_Pre1980_2A_74_16_19_0_2_18</v>
      </c>
      <c r="C55" s="196">
        <v>74.0</v>
      </c>
      <c r="D55" s="196">
        <v>16.0</v>
      </c>
      <c r="E55" s="196">
        <v>19.0</v>
      </c>
      <c r="F55" s="196">
        <v>0.0</v>
      </c>
      <c r="G55" s="196">
        <v>2.0</v>
      </c>
      <c r="H55" s="196">
        <v>18.0</v>
      </c>
      <c r="I55" s="196">
        <v>9.7519264840094E-4</v>
      </c>
      <c r="J55" s="196">
        <v>1.76675823948993E-4</v>
      </c>
      <c r="K55" s="196">
        <v>-1.33060428005082E-4</v>
      </c>
      <c r="L55" s="196">
        <v>0.083795861718272</v>
      </c>
      <c r="M55" s="196">
        <v>0.00501987140103851</v>
      </c>
      <c r="N55" s="196">
        <v>-0.185997926847777</v>
      </c>
      <c r="O55" s="196">
        <v>0.00372853150462249</v>
      </c>
      <c r="P55" s="196">
        <v>-0.0870352597432096</v>
      </c>
    </row>
    <row r="56" ht="15.75" customHeight="1">
      <c r="A56" s="196" t="s">
        <v>271</v>
      </c>
      <c r="B56" s="196" t="str">
        <f t="shared" si="1"/>
        <v>MediumOffice_Pre1980_2A_74_16_19_0_4_16</v>
      </c>
      <c r="C56" s="196">
        <v>74.0</v>
      </c>
      <c r="D56" s="196">
        <v>16.0</v>
      </c>
      <c r="E56" s="196">
        <v>19.0</v>
      </c>
      <c r="F56" s="196">
        <v>0.0</v>
      </c>
      <c r="G56" s="196">
        <v>4.0</v>
      </c>
      <c r="H56" s="196">
        <v>16.0</v>
      </c>
      <c r="I56" s="196">
        <v>0.00137044440784732</v>
      </c>
      <c r="J56" s="196">
        <v>0.032255249912533</v>
      </c>
      <c r="K56" s="243">
        <v>7.21124300540075E-5</v>
      </c>
      <c r="L56" s="196">
        <v>0.135328077307897</v>
      </c>
      <c r="M56" s="196">
        <v>0.00910589374364133</v>
      </c>
      <c r="N56" s="196">
        <v>-0.10252823464488</v>
      </c>
      <c r="O56" s="196">
        <v>0.009173905855723</v>
      </c>
      <c r="P56" s="196">
        <v>-0.0783638716930412</v>
      </c>
    </row>
    <row r="57" ht="15.75" customHeight="1">
      <c r="A57" s="196" t="s">
        <v>271</v>
      </c>
      <c r="B57" s="196" t="str">
        <f t="shared" si="1"/>
        <v>MediumOffice_Pre1980_2A_74_16_19_0_4_17</v>
      </c>
      <c r="C57" s="196">
        <v>74.0</v>
      </c>
      <c r="D57" s="196">
        <v>16.0</v>
      </c>
      <c r="E57" s="196">
        <v>19.0</v>
      </c>
      <c r="F57" s="196">
        <v>0.0</v>
      </c>
      <c r="G57" s="196">
        <v>4.0</v>
      </c>
      <c r="H57" s="196">
        <v>17.0</v>
      </c>
      <c r="I57" s="243">
        <v>6.92756452892536E-5</v>
      </c>
      <c r="J57" s="196">
        <v>0.10407431400212</v>
      </c>
      <c r="K57" s="196">
        <v>1.57593812716541E-4</v>
      </c>
      <c r="L57" s="196">
        <v>0.106969551910443</v>
      </c>
      <c r="M57" s="196">
        <v>0.00390489491333147</v>
      </c>
      <c r="N57" s="196">
        <v>0.0944009241101161</v>
      </c>
      <c r="O57" s="196">
        <v>0.00840569308260105</v>
      </c>
      <c r="P57" s="196">
        <v>-0.211652089313599</v>
      </c>
    </row>
    <row r="58" ht="15.75" customHeight="1">
      <c r="A58" s="196" t="s">
        <v>271</v>
      </c>
      <c r="B58" s="196" t="str">
        <f t="shared" si="1"/>
        <v>MediumOffice_Pre1980_2A_74_16_19_0_4_18</v>
      </c>
      <c r="C58" s="196">
        <v>74.0</v>
      </c>
      <c r="D58" s="196">
        <v>16.0</v>
      </c>
      <c r="E58" s="196">
        <v>19.0</v>
      </c>
      <c r="F58" s="196">
        <v>0.0</v>
      </c>
      <c r="G58" s="196">
        <v>4.0</v>
      </c>
      <c r="H58" s="196">
        <v>18.0</v>
      </c>
      <c r="I58" s="196">
        <v>0.00235339306052154</v>
      </c>
      <c r="J58" s="196">
        <v>-0.0334856478542923</v>
      </c>
      <c r="K58" s="196">
        <v>-1.71609249664356E-4</v>
      </c>
      <c r="L58" s="196">
        <v>0.156980963827492</v>
      </c>
      <c r="M58" s="196">
        <v>0.0107630930007608</v>
      </c>
      <c r="N58" s="196">
        <v>-0.435941111693069</v>
      </c>
      <c r="O58" s="196">
        <v>0.00758395169676464</v>
      </c>
      <c r="P58" s="196">
        <v>-0.192796333530482</v>
      </c>
    </row>
    <row r="59" ht="15.75" customHeight="1">
      <c r="A59" s="196" t="s">
        <v>272</v>
      </c>
      <c r="B59" s="196" t="str">
        <f t="shared" si="1"/>
        <v>MediumOffice_Pre1980_2A_74_16_19_0_6_16</v>
      </c>
      <c r="C59" s="196">
        <v>74.0</v>
      </c>
      <c r="D59" s="196">
        <v>16.0</v>
      </c>
      <c r="E59" s="196">
        <v>19.0</v>
      </c>
      <c r="F59" s="196">
        <v>0.0</v>
      </c>
      <c r="G59" s="196">
        <v>6.0</v>
      </c>
      <c r="H59" s="196">
        <v>16.0</v>
      </c>
      <c r="I59" s="196">
        <v>0.00142063504423577</v>
      </c>
      <c r="J59" s="196">
        <v>0.0758190274105688</v>
      </c>
      <c r="K59" s="196">
        <v>0.00161253182936028</v>
      </c>
      <c r="L59" s="196">
        <v>0.0689418380852623</v>
      </c>
      <c r="M59" s="196">
        <v>0.0106040769316099</v>
      </c>
      <c r="N59" s="196">
        <v>-0.0110072796843663</v>
      </c>
      <c r="O59" s="196">
        <v>0.0213959698057436</v>
      </c>
      <c r="P59" s="196">
        <v>-0.794105668012421</v>
      </c>
    </row>
    <row r="60" ht="15.75" customHeight="1">
      <c r="A60" s="196" t="s">
        <v>272</v>
      </c>
      <c r="B60" s="196" t="str">
        <f t="shared" si="1"/>
        <v>MediumOffice_Pre1980_2A_74_16_19_0_6_17</v>
      </c>
      <c r="C60" s="196">
        <v>74.0</v>
      </c>
      <c r="D60" s="196">
        <v>16.0</v>
      </c>
      <c r="E60" s="196">
        <v>19.0</v>
      </c>
      <c r="F60" s="196">
        <v>0.0</v>
      </c>
      <c r="G60" s="196">
        <v>6.0</v>
      </c>
      <c r="H60" s="196">
        <v>17.0</v>
      </c>
      <c r="I60" s="196">
        <v>2.78954906146809E-4</v>
      </c>
      <c r="J60" s="196">
        <v>0.136518282299572</v>
      </c>
      <c r="K60" s="196">
        <v>5.65422289268433E-4</v>
      </c>
      <c r="L60" s="196">
        <v>0.127794084333287</v>
      </c>
      <c r="M60" s="196">
        <v>0.00623604819709224</v>
      </c>
      <c r="N60" s="196">
        <v>0.0903292621362097</v>
      </c>
      <c r="O60" s="196">
        <v>0.0137178155020384</v>
      </c>
      <c r="P60" s="196">
        <v>-0.430444882154573</v>
      </c>
    </row>
    <row r="61" ht="15.75" customHeight="1">
      <c r="A61" s="196" t="s">
        <v>272</v>
      </c>
      <c r="B61" s="196" t="str">
        <f t="shared" si="1"/>
        <v>MediumOffice_Pre1980_2A_74_16_19_0_6_18</v>
      </c>
      <c r="C61" s="196">
        <v>74.0</v>
      </c>
      <c r="D61" s="196">
        <v>16.0</v>
      </c>
      <c r="E61" s="196">
        <v>19.0</v>
      </c>
      <c r="F61" s="196">
        <v>0.0</v>
      </c>
      <c r="G61" s="196">
        <v>6.0</v>
      </c>
      <c r="H61" s="196">
        <v>18.0</v>
      </c>
      <c r="I61" s="196">
        <v>0.00369969755457869</v>
      </c>
      <c r="J61" s="196">
        <v>-0.0717617194658024</v>
      </c>
      <c r="K61" s="243">
        <v>6.17309329217591E-5</v>
      </c>
      <c r="L61" s="196">
        <v>0.203243082810772</v>
      </c>
      <c r="M61" s="196">
        <v>0.0161649793571677</v>
      </c>
      <c r="N61" s="196">
        <v>-0.678507338176007</v>
      </c>
      <c r="O61" s="196">
        <v>0.0120628577271161</v>
      </c>
      <c r="P61" s="196">
        <v>-0.363094757199529</v>
      </c>
    </row>
    <row r="62" ht="15.75" customHeight="1">
      <c r="A62" s="196" t="s">
        <v>273</v>
      </c>
      <c r="B62" s="196" t="str">
        <f t="shared" si="1"/>
        <v>MediumOffice_Pre1980_2A_74_16_19_2_0_16</v>
      </c>
      <c r="C62" s="196">
        <v>74.0</v>
      </c>
      <c r="D62" s="196">
        <v>16.0</v>
      </c>
      <c r="E62" s="196">
        <v>19.0</v>
      </c>
      <c r="F62" s="196">
        <v>2.0</v>
      </c>
      <c r="G62" s="196">
        <v>0.0</v>
      </c>
      <c r="H62" s="196">
        <v>16.0</v>
      </c>
      <c r="I62" s="196">
        <v>2.07671540553064E-4</v>
      </c>
      <c r="J62" s="196">
        <v>0.0138768907027833</v>
      </c>
      <c r="K62" s="243">
        <v>-2.78546515469495E-5</v>
      </c>
      <c r="L62" s="196">
        <v>0.0323263169489316</v>
      </c>
      <c r="M62" s="196">
        <v>0.00162183373782405</v>
      </c>
      <c r="N62" s="196">
        <v>0.00510411523251426</v>
      </c>
      <c r="O62" s="196">
        <v>0.00162988902422491</v>
      </c>
      <c r="P62" s="196">
        <v>0.0103014326919692</v>
      </c>
    </row>
    <row r="63" ht="15.75" customHeight="1">
      <c r="A63" s="196" t="s">
        <v>273</v>
      </c>
      <c r="B63" s="196" t="str">
        <f t="shared" si="1"/>
        <v>MediumOffice_Pre1980_2A_74_16_19_2_0_17</v>
      </c>
      <c r="C63" s="196">
        <v>74.0</v>
      </c>
      <c r="D63" s="196">
        <v>16.0</v>
      </c>
      <c r="E63" s="196">
        <v>19.0</v>
      </c>
      <c r="F63" s="196">
        <v>2.0</v>
      </c>
      <c r="G63" s="196">
        <v>0.0</v>
      </c>
      <c r="H63" s="196">
        <v>17.0</v>
      </c>
      <c r="I63" s="196">
        <v>-2.38177925296631E-4</v>
      </c>
      <c r="J63" s="196">
        <v>0.0314489162745861</v>
      </c>
      <c r="K63" s="243">
        <v>-7.81666919772988E-5</v>
      </c>
      <c r="L63" s="196">
        <v>0.0211738228292586</v>
      </c>
      <c r="M63" s="196">
        <v>-3.12768592680086E-4</v>
      </c>
      <c r="N63" s="196">
        <v>0.0717691009216336</v>
      </c>
      <c r="O63" s="196">
        <v>5.71928925722626E-4</v>
      </c>
      <c r="P63" s="196">
        <v>0.0119232808311707</v>
      </c>
    </row>
    <row r="64" ht="15.75" customHeight="1">
      <c r="A64" s="196" t="s">
        <v>273</v>
      </c>
      <c r="B64" s="196" t="str">
        <f t="shared" si="1"/>
        <v>MediumOffice_Pre1980_2A_74_16_19_2_0_18</v>
      </c>
      <c r="C64" s="196">
        <v>74.0</v>
      </c>
      <c r="D64" s="196">
        <v>16.0</v>
      </c>
      <c r="E64" s="196">
        <v>19.0</v>
      </c>
      <c r="F64" s="196">
        <v>2.0</v>
      </c>
      <c r="G64" s="196">
        <v>0.0</v>
      </c>
      <c r="H64" s="196">
        <v>18.0</v>
      </c>
      <c r="I64" s="196">
        <v>1.24232207238724E-4</v>
      </c>
      <c r="J64" s="196">
        <v>0.00564028398825667</v>
      </c>
      <c r="K64" s="196">
        <v>-1.1901270861732E-4</v>
      </c>
      <c r="L64" s="196">
        <v>0.0238281762748092</v>
      </c>
      <c r="M64" s="196">
        <v>8.52021122233679E-4</v>
      </c>
      <c r="N64" s="196">
        <v>-0.025024398552283</v>
      </c>
      <c r="O64" s="196">
        <v>3.92322637414795E-4</v>
      </c>
      <c r="P64" s="196">
        <v>0.00995961524598747</v>
      </c>
    </row>
    <row r="65" ht="15.75" customHeight="1">
      <c r="A65" s="196" t="s">
        <v>274</v>
      </c>
      <c r="B65" s="196" t="str">
        <f t="shared" si="1"/>
        <v>MediumOffice_Pre1980_2A_74_16_19_2_2_16</v>
      </c>
      <c r="C65" s="196">
        <v>74.0</v>
      </c>
      <c r="D65" s="196">
        <v>16.0</v>
      </c>
      <c r="E65" s="196">
        <v>19.0</v>
      </c>
      <c r="F65" s="196">
        <v>2.0</v>
      </c>
      <c r="G65" s="196">
        <v>2.0</v>
      </c>
      <c r="H65" s="196">
        <v>16.0</v>
      </c>
      <c r="I65" s="196">
        <v>0.00114135611322346</v>
      </c>
      <c r="J65" s="196">
        <v>0.0177312363881519</v>
      </c>
      <c r="K65" s="196">
        <v>-1.7495139483362E-4</v>
      </c>
      <c r="L65" s="196">
        <v>0.114795284203871</v>
      </c>
      <c r="M65" s="196">
        <v>0.0073401231687168</v>
      </c>
      <c r="N65" s="196">
        <v>-0.106354481320632</v>
      </c>
      <c r="O65" s="196">
        <v>0.00535874770072885</v>
      </c>
      <c r="P65" s="196">
        <v>0.0393326685513883</v>
      </c>
    </row>
    <row r="66" ht="15.75" customHeight="1">
      <c r="A66" s="196" t="s">
        <v>274</v>
      </c>
      <c r="B66" s="196" t="str">
        <f t="shared" si="1"/>
        <v>MediumOffice_Pre1980_2A_74_16_19_2_2_17</v>
      </c>
      <c r="C66" s="196">
        <v>74.0</v>
      </c>
      <c r="D66" s="196">
        <v>16.0</v>
      </c>
      <c r="E66" s="196">
        <v>19.0</v>
      </c>
      <c r="F66" s="196">
        <v>2.0</v>
      </c>
      <c r="G66" s="196">
        <v>2.0</v>
      </c>
      <c r="H66" s="196">
        <v>17.0</v>
      </c>
      <c r="I66" s="196">
        <v>-1.39230452968781E-4</v>
      </c>
      <c r="J66" s="196">
        <v>0.080346683625459</v>
      </c>
      <c r="K66" s="243">
        <v>-4.87068365745494E-5</v>
      </c>
      <c r="L66" s="196">
        <v>0.0792637487302214</v>
      </c>
      <c r="M66" s="196">
        <v>0.00189785125285528</v>
      </c>
      <c r="N66" s="196">
        <v>0.10549072479179</v>
      </c>
      <c r="O66" s="196">
        <v>0.00460208343606011</v>
      </c>
      <c r="P66" s="196">
        <v>-0.0776876121157374</v>
      </c>
    </row>
    <row r="67" ht="15.75" customHeight="1">
      <c r="A67" s="196" t="s">
        <v>274</v>
      </c>
      <c r="B67" s="196" t="str">
        <f t="shared" si="1"/>
        <v>MediumOffice_Pre1980_2A_74_16_19_2_2_18</v>
      </c>
      <c r="C67" s="196">
        <v>74.0</v>
      </c>
      <c r="D67" s="196">
        <v>16.0</v>
      </c>
      <c r="E67" s="196">
        <v>19.0</v>
      </c>
      <c r="F67" s="196">
        <v>2.0</v>
      </c>
      <c r="G67" s="196">
        <v>2.0</v>
      </c>
      <c r="H67" s="196">
        <v>18.0</v>
      </c>
      <c r="I67" s="196">
        <v>0.00124196548749232</v>
      </c>
      <c r="J67" s="196">
        <v>-0.00487598507903032</v>
      </c>
      <c r="K67" s="196">
        <v>-2.60665525101118E-4</v>
      </c>
      <c r="L67" s="196">
        <v>0.108072356198584</v>
      </c>
      <c r="M67" s="196">
        <v>0.00618041453966974</v>
      </c>
      <c r="N67" s="196">
        <v>-0.234253131678694</v>
      </c>
      <c r="O67" s="196">
        <v>0.00407355832017772</v>
      </c>
      <c r="P67" s="196">
        <v>-0.073961124888641</v>
      </c>
    </row>
    <row r="68" ht="15.75" customHeight="1">
      <c r="A68" s="196" t="s">
        <v>275</v>
      </c>
      <c r="B68" s="196" t="str">
        <f t="shared" si="1"/>
        <v>MediumOffice_Pre1980_2A_74_16_19_2_4_16</v>
      </c>
      <c r="C68" s="196">
        <v>74.0</v>
      </c>
      <c r="D68" s="196">
        <v>16.0</v>
      </c>
      <c r="E68" s="196">
        <v>19.0</v>
      </c>
      <c r="F68" s="196">
        <v>2.0</v>
      </c>
      <c r="G68" s="196">
        <v>4.0</v>
      </c>
      <c r="H68" s="196">
        <v>16.0</v>
      </c>
      <c r="I68" s="196">
        <v>0.00158826078056907</v>
      </c>
      <c r="J68" s="196">
        <v>0.0403181354256562</v>
      </c>
      <c r="K68" s="196">
        <v>9.43550279749476E-4</v>
      </c>
      <c r="L68" s="196">
        <v>0.0945620578751306</v>
      </c>
      <c r="M68" s="196">
        <v>0.010665164653117</v>
      </c>
      <c r="N68" s="196">
        <v>-0.114270780596513</v>
      </c>
      <c r="O68" s="196">
        <v>0.015775450652834</v>
      </c>
      <c r="P68" s="196">
        <v>-0.472124390643885</v>
      </c>
    </row>
    <row r="69" ht="15.75" customHeight="1">
      <c r="A69" s="196" t="s">
        <v>275</v>
      </c>
      <c r="B69" s="196" t="str">
        <f t="shared" si="1"/>
        <v>MediumOffice_Pre1980_2A_74_16_19_2_4_17</v>
      </c>
      <c r="C69" s="196">
        <v>74.0</v>
      </c>
      <c r="D69" s="196">
        <v>16.0</v>
      </c>
      <c r="E69" s="196">
        <v>19.0</v>
      </c>
      <c r="F69" s="196">
        <v>2.0</v>
      </c>
      <c r="G69" s="196">
        <v>4.0</v>
      </c>
      <c r="H69" s="196">
        <v>17.0</v>
      </c>
      <c r="I69" s="243">
        <v>-5.84192506210419E-5</v>
      </c>
      <c r="J69" s="196">
        <v>0.125816501254821</v>
      </c>
      <c r="K69" s="196">
        <v>2.08606050326499E-4</v>
      </c>
      <c r="L69" s="196">
        <v>0.116866827410979</v>
      </c>
      <c r="M69" s="196">
        <v>0.00391647247619441</v>
      </c>
      <c r="N69" s="196">
        <v>0.136882596038535</v>
      </c>
      <c r="O69" s="196">
        <v>0.009517084361798</v>
      </c>
      <c r="P69" s="196">
        <v>-0.246467610299721</v>
      </c>
    </row>
    <row r="70" ht="15.75" customHeight="1">
      <c r="A70" s="196" t="s">
        <v>275</v>
      </c>
      <c r="B70" s="196" t="str">
        <f t="shared" si="1"/>
        <v>MediumOffice_Pre1980_2A_74_16_19_2_4_18</v>
      </c>
      <c r="C70" s="196">
        <v>74.0</v>
      </c>
      <c r="D70" s="196">
        <v>16.0</v>
      </c>
      <c r="E70" s="196">
        <v>19.0</v>
      </c>
      <c r="F70" s="196">
        <v>2.0</v>
      </c>
      <c r="G70" s="196">
        <v>4.0</v>
      </c>
      <c r="H70" s="196">
        <v>18.0</v>
      </c>
      <c r="I70" s="196">
        <v>0.00260852484005404</v>
      </c>
      <c r="J70" s="196">
        <v>-0.039237700952249</v>
      </c>
      <c r="K70" s="196">
        <v>-2.21664268621498E-4</v>
      </c>
      <c r="L70" s="196">
        <v>0.174464384744131</v>
      </c>
      <c r="M70" s="196">
        <v>0.0118369031769015</v>
      </c>
      <c r="N70" s="196">
        <v>-0.481771088494283</v>
      </c>
      <c r="O70" s="196">
        <v>0.00815715173652631</v>
      </c>
      <c r="P70" s="196">
        <v>-0.199587928807737</v>
      </c>
    </row>
    <row r="71" ht="15.75" customHeight="1">
      <c r="A71" s="196" t="s">
        <v>276</v>
      </c>
      <c r="B71" s="196" t="str">
        <f t="shared" si="1"/>
        <v>MediumOffice_Pre1980_2A_74_16_19_2_6_16</v>
      </c>
      <c r="C71" s="196">
        <v>74.0</v>
      </c>
      <c r="D71" s="196">
        <v>16.0</v>
      </c>
      <c r="E71" s="196">
        <v>19.0</v>
      </c>
      <c r="F71" s="196">
        <v>2.0</v>
      </c>
      <c r="G71" s="196">
        <v>6.0</v>
      </c>
      <c r="H71" s="196">
        <v>16.0</v>
      </c>
      <c r="I71" s="196">
        <v>0.00157725420833616</v>
      </c>
      <c r="J71" s="196">
        <v>0.0770976971953759</v>
      </c>
      <c r="K71" s="196">
        <v>0.00167816558756317</v>
      </c>
      <c r="L71" s="196">
        <v>0.0840154446673656</v>
      </c>
      <c r="M71" s="196">
        <v>0.0116492238522253</v>
      </c>
      <c r="N71" s="196">
        <v>-0.032834083298598</v>
      </c>
      <c r="O71" s="196">
        <v>0.0229873695394636</v>
      </c>
      <c r="P71" s="196">
        <v>-0.826678387385463</v>
      </c>
    </row>
    <row r="72" ht="15.75" customHeight="1">
      <c r="A72" s="196" t="s">
        <v>276</v>
      </c>
      <c r="B72" s="196" t="str">
        <f t="shared" si="1"/>
        <v>MediumOffice_Pre1980_2A_74_16_19_2_6_17</v>
      </c>
      <c r="C72" s="196">
        <v>74.0</v>
      </c>
      <c r="D72" s="196">
        <v>16.0</v>
      </c>
      <c r="E72" s="196">
        <v>19.0</v>
      </c>
      <c r="F72" s="196">
        <v>2.0</v>
      </c>
      <c r="G72" s="196">
        <v>6.0</v>
      </c>
      <c r="H72" s="196">
        <v>17.0</v>
      </c>
      <c r="I72" s="196">
        <v>3.53296124484756E-4</v>
      </c>
      <c r="J72" s="196">
        <v>0.142612263530569</v>
      </c>
      <c r="K72" s="196">
        <v>5.39496117994877E-4</v>
      </c>
      <c r="L72" s="196">
        <v>0.142575522266332</v>
      </c>
      <c r="M72" s="196">
        <v>0.00688242787870673</v>
      </c>
      <c r="N72" s="196">
        <v>0.0832741974771943</v>
      </c>
      <c r="O72" s="196">
        <v>0.0143864909288282</v>
      </c>
      <c r="P72" s="196">
        <v>-0.434731299483721</v>
      </c>
    </row>
    <row r="73" ht="15.75" customHeight="1">
      <c r="A73" s="196" t="s">
        <v>276</v>
      </c>
      <c r="B73" s="196" t="str">
        <f t="shared" si="1"/>
        <v>MediumOffice_Pre1980_2A_74_16_19_2_6_18</v>
      </c>
      <c r="C73" s="196">
        <v>74.0</v>
      </c>
      <c r="D73" s="196">
        <v>16.0</v>
      </c>
      <c r="E73" s="196">
        <v>19.0</v>
      </c>
      <c r="F73" s="196">
        <v>2.0</v>
      </c>
      <c r="G73" s="196">
        <v>6.0</v>
      </c>
      <c r="H73" s="196">
        <v>18.0</v>
      </c>
      <c r="I73" s="196">
        <v>0.00419313406862316</v>
      </c>
      <c r="J73" s="196">
        <v>-0.095213007675492</v>
      </c>
      <c r="K73" s="243">
        <v>-3.42192590234817E-5</v>
      </c>
      <c r="L73" s="196">
        <v>0.223548908455211</v>
      </c>
      <c r="M73" s="196">
        <v>0.0177512984854668</v>
      </c>
      <c r="N73" s="196">
        <v>-0.762556667651014</v>
      </c>
      <c r="O73" s="196">
        <v>0.0124380681827063</v>
      </c>
      <c r="P73" s="196">
        <v>-0.356570280126082</v>
      </c>
    </row>
    <row r="74" ht="15.75" customHeight="1">
      <c r="A74" s="196" t="s">
        <v>277</v>
      </c>
      <c r="B74" s="196" t="str">
        <f t="shared" si="1"/>
        <v>MediumOffice_Post1980_2A_74_16_19_0_0_16</v>
      </c>
      <c r="C74" s="196">
        <v>74.0</v>
      </c>
      <c r="D74" s="196">
        <v>16.0</v>
      </c>
      <c r="E74" s="196">
        <v>19.0</v>
      </c>
      <c r="F74" s="196">
        <v>0.0</v>
      </c>
      <c r="G74" s="196">
        <v>0.0</v>
      </c>
      <c r="H74" s="196">
        <v>16.0</v>
      </c>
      <c r="I74" s="196">
        <v>0.0</v>
      </c>
      <c r="J74" s="196">
        <v>0.0</v>
      </c>
      <c r="K74" s="196">
        <v>0.0</v>
      </c>
      <c r="L74" s="196">
        <v>0.0</v>
      </c>
      <c r="M74" s="196">
        <v>0.0</v>
      </c>
      <c r="N74" s="196">
        <v>0.0</v>
      </c>
      <c r="O74" s="196">
        <v>0.0</v>
      </c>
      <c r="P74" s="196">
        <v>0.0</v>
      </c>
    </row>
    <row r="75" ht="15.75" customHeight="1">
      <c r="A75" s="196" t="s">
        <v>277</v>
      </c>
      <c r="B75" s="196" t="str">
        <f t="shared" si="1"/>
        <v>MediumOffice_Post1980_2A_74_16_19_0_0_17</v>
      </c>
      <c r="C75" s="196">
        <v>74.0</v>
      </c>
      <c r="D75" s="196">
        <v>16.0</v>
      </c>
      <c r="E75" s="196">
        <v>19.0</v>
      </c>
      <c r="F75" s="196">
        <v>0.0</v>
      </c>
      <c r="G75" s="196">
        <v>0.0</v>
      </c>
      <c r="H75" s="196">
        <v>17.0</v>
      </c>
      <c r="I75" s="196">
        <v>0.0</v>
      </c>
      <c r="J75" s="196">
        <v>0.0</v>
      </c>
      <c r="K75" s="196">
        <v>0.0</v>
      </c>
      <c r="L75" s="196">
        <v>0.0</v>
      </c>
      <c r="M75" s="196">
        <v>0.0</v>
      </c>
      <c r="N75" s="196">
        <v>0.0</v>
      </c>
      <c r="O75" s="196">
        <v>0.0</v>
      </c>
      <c r="P75" s="196">
        <v>0.0</v>
      </c>
    </row>
    <row r="76" ht="15.75" customHeight="1">
      <c r="A76" s="196" t="s">
        <v>277</v>
      </c>
      <c r="B76" s="196" t="str">
        <f t="shared" si="1"/>
        <v>MediumOffice_Post1980_2A_74_16_19_0_0_18</v>
      </c>
      <c r="C76" s="196">
        <v>74.0</v>
      </c>
      <c r="D76" s="196">
        <v>16.0</v>
      </c>
      <c r="E76" s="196">
        <v>19.0</v>
      </c>
      <c r="F76" s="196">
        <v>0.0</v>
      </c>
      <c r="G76" s="196">
        <v>0.0</v>
      </c>
      <c r="H76" s="196">
        <v>18.0</v>
      </c>
      <c r="I76" s="196">
        <v>0.0</v>
      </c>
      <c r="J76" s="196">
        <v>0.0</v>
      </c>
      <c r="K76" s="196">
        <v>0.0</v>
      </c>
      <c r="L76" s="196">
        <v>0.0</v>
      </c>
      <c r="M76" s="196">
        <v>0.0</v>
      </c>
      <c r="N76" s="196">
        <v>0.0</v>
      </c>
      <c r="O76" s="196">
        <v>0.0</v>
      </c>
      <c r="P76" s="196">
        <v>0.0</v>
      </c>
    </row>
    <row r="77" ht="15.75" customHeight="1">
      <c r="A77" s="196" t="s">
        <v>278</v>
      </c>
      <c r="B77" s="196" t="str">
        <f t="shared" si="1"/>
        <v>MediumOffice_Post1980_2A_74_16_19_0_2_16</v>
      </c>
      <c r="C77" s="196">
        <v>74.0</v>
      </c>
      <c r="D77" s="196">
        <v>16.0</v>
      </c>
      <c r="E77" s="196">
        <v>19.0</v>
      </c>
      <c r="F77" s="196">
        <v>0.0</v>
      </c>
      <c r="G77" s="196">
        <v>2.0</v>
      </c>
      <c r="H77" s="196">
        <v>16.0</v>
      </c>
      <c r="I77" s="196">
        <v>5.32977865855002E-4</v>
      </c>
      <c r="J77" s="196">
        <v>0.0332035597570239</v>
      </c>
      <c r="K77" s="196">
        <v>0.0020529281872657</v>
      </c>
      <c r="L77" s="196">
        <v>-0.0570785935469982</v>
      </c>
      <c r="M77" s="196">
        <v>0.00436747053201653</v>
      </c>
      <c r="N77" s="196">
        <v>-0.0263346120080308</v>
      </c>
      <c r="O77" s="196">
        <v>0.020779852415541</v>
      </c>
      <c r="P77" s="196">
        <v>-1.17797375742031</v>
      </c>
    </row>
    <row r="78" ht="15.75" customHeight="1">
      <c r="A78" s="196" t="s">
        <v>278</v>
      </c>
      <c r="B78" s="196" t="str">
        <f t="shared" si="1"/>
        <v>MediumOffice_Post1980_2A_74_16_19_0_2_17</v>
      </c>
      <c r="C78" s="196">
        <v>74.0</v>
      </c>
      <c r="D78" s="196">
        <v>16.0</v>
      </c>
      <c r="E78" s="196">
        <v>19.0</v>
      </c>
      <c r="F78" s="196">
        <v>0.0</v>
      </c>
      <c r="G78" s="196">
        <v>2.0</v>
      </c>
      <c r="H78" s="196">
        <v>17.0</v>
      </c>
      <c r="I78" s="196">
        <v>0.00208360930076724</v>
      </c>
      <c r="J78" s="196">
        <v>-0.0941050109940049</v>
      </c>
      <c r="K78" s="196">
        <v>0.00248971536440464</v>
      </c>
      <c r="L78" s="196">
        <v>-0.110543167932281</v>
      </c>
      <c r="M78" s="196">
        <v>0.00851149419241738</v>
      </c>
      <c r="N78" s="196">
        <v>-0.429784861079359</v>
      </c>
      <c r="O78" s="196">
        <v>0.0190255651718868</v>
      </c>
      <c r="P78" s="196">
        <v>-1.18909808302618</v>
      </c>
    </row>
    <row r="79" ht="15.75" customHeight="1">
      <c r="A79" s="196" t="s">
        <v>278</v>
      </c>
      <c r="B79" s="196" t="str">
        <f t="shared" si="1"/>
        <v>MediumOffice_Post1980_2A_74_16_19_0_2_18</v>
      </c>
      <c r="C79" s="196">
        <v>74.0</v>
      </c>
      <c r="D79" s="196">
        <v>16.0</v>
      </c>
      <c r="E79" s="196">
        <v>19.0</v>
      </c>
      <c r="F79" s="196">
        <v>0.0</v>
      </c>
      <c r="G79" s="196">
        <v>2.0</v>
      </c>
      <c r="H79" s="196">
        <v>18.0</v>
      </c>
      <c r="I79" s="196">
        <v>0.00169808116018907</v>
      </c>
      <c r="J79" s="196">
        <v>-0.102544616481899</v>
      </c>
      <c r="K79" s="196">
        <v>0.00536776700019081</v>
      </c>
      <c r="L79" s="196">
        <v>-0.364678696057192</v>
      </c>
      <c r="M79" s="196">
        <v>0.00431631378802683</v>
      </c>
      <c r="N79" s="196">
        <v>-0.264777391929232</v>
      </c>
      <c r="O79" s="196">
        <v>0.0221761323935105</v>
      </c>
      <c r="P79" s="196">
        <v>-1.59326587668863</v>
      </c>
    </row>
    <row r="80" ht="15.75" customHeight="1">
      <c r="A80" s="196" t="s">
        <v>279</v>
      </c>
      <c r="B80" s="196" t="str">
        <f t="shared" si="1"/>
        <v>MediumOffice_Post1980_2A_74_16_19_0_4_16</v>
      </c>
      <c r="C80" s="196">
        <v>74.0</v>
      </c>
      <c r="D80" s="196">
        <v>16.0</v>
      </c>
      <c r="E80" s="196">
        <v>19.0</v>
      </c>
      <c r="F80" s="196">
        <v>0.0</v>
      </c>
      <c r="G80" s="196">
        <v>4.0</v>
      </c>
      <c r="H80" s="196">
        <v>16.0</v>
      </c>
      <c r="I80" s="196">
        <v>1.23691133799813E-4</v>
      </c>
      <c r="J80" s="196">
        <v>0.077188102607366</v>
      </c>
      <c r="K80" s="196">
        <v>0.00641241691923909</v>
      </c>
      <c r="L80" s="196">
        <v>-0.372304943007681</v>
      </c>
      <c r="M80" s="196">
        <v>0.00330365052411009</v>
      </c>
      <c r="N80" s="196">
        <v>0.108932265011531</v>
      </c>
      <c r="O80" s="196">
        <v>0.0490475458169908</v>
      </c>
      <c r="P80" s="196">
        <v>-3.29355927156304</v>
      </c>
    </row>
    <row r="81" ht="15.75" customHeight="1">
      <c r="A81" s="196" t="s">
        <v>279</v>
      </c>
      <c r="B81" s="196" t="str">
        <f t="shared" si="1"/>
        <v>MediumOffice_Post1980_2A_74_16_19_0_4_17</v>
      </c>
      <c r="C81" s="196">
        <v>74.0</v>
      </c>
      <c r="D81" s="196">
        <v>16.0</v>
      </c>
      <c r="E81" s="196">
        <v>19.0</v>
      </c>
      <c r="F81" s="196">
        <v>0.0</v>
      </c>
      <c r="G81" s="196">
        <v>4.0</v>
      </c>
      <c r="H81" s="196">
        <v>17.0</v>
      </c>
      <c r="I81" s="196">
        <v>0.00259564057633509</v>
      </c>
      <c r="J81" s="196">
        <v>-0.112019152154871</v>
      </c>
      <c r="K81" s="196">
        <v>0.00637867229967401</v>
      </c>
      <c r="L81" s="196">
        <v>-0.388369796360081</v>
      </c>
      <c r="M81" s="196">
        <v>0.0107077643412764</v>
      </c>
      <c r="N81" s="196">
        <v>-0.526352888807317</v>
      </c>
      <c r="O81" s="196">
        <v>0.0405755846852128</v>
      </c>
      <c r="P81" s="196">
        <v>-2.79034711008296</v>
      </c>
    </row>
    <row r="82" ht="15.75" customHeight="1">
      <c r="A82" s="196" t="s">
        <v>279</v>
      </c>
      <c r="B82" s="196" t="str">
        <f t="shared" si="1"/>
        <v>MediumOffice_Post1980_2A_74_16_19_0_4_18</v>
      </c>
      <c r="C82" s="196">
        <v>74.0</v>
      </c>
      <c r="D82" s="196">
        <v>16.0</v>
      </c>
      <c r="E82" s="196">
        <v>19.0</v>
      </c>
      <c r="F82" s="196">
        <v>0.0</v>
      </c>
      <c r="G82" s="196">
        <v>4.0</v>
      </c>
      <c r="H82" s="196">
        <v>18.0</v>
      </c>
      <c r="I82" s="196">
        <v>0.00159315060077928</v>
      </c>
      <c r="J82" s="196">
        <v>-0.0956509305733427</v>
      </c>
      <c r="K82" s="196">
        <v>0.00911249422712054</v>
      </c>
      <c r="L82" s="196">
        <v>-0.659942205343411</v>
      </c>
      <c r="M82" s="196">
        <v>0.00405235342941905</v>
      </c>
      <c r="N82" s="196">
        <v>-0.247416963895536</v>
      </c>
      <c r="O82" s="196">
        <v>0.0358067798312996</v>
      </c>
      <c r="P82" s="196">
        <v>-2.67368829777117</v>
      </c>
    </row>
    <row r="83" ht="15.75" customHeight="1">
      <c r="A83" s="196" t="s">
        <v>280</v>
      </c>
      <c r="B83" s="196" t="str">
        <f t="shared" si="1"/>
        <v>MediumOffice_Post1980_2A_74_16_19_0_6_16</v>
      </c>
      <c r="C83" s="196">
        <v>74.0</v>
      </c>
      <c r="D83" s="196">
        <v>16.0</v>
      </c>
      <c r="E83" s="196">
        <v>19.0</v>
      </c>
      <c r="F83" s="196">
        <v>0.0</v>
      </c>
      <c r="G83" s="196">
        <v>6.0</v>
      </c>
      <c r="H83" s="196">
        <v>16.0</v>
      </c>
      <c r="I83" s="196">
        <v>1.0092979528671E-4</v>
      </c>
      <c r="J83" s="196">
        <v>0.0789619101691683</v>
      </c>
      <c r="K83" s="196">
        <v>0.00791888491040907</v>
      </c>
      <c r="L83" s="196">
        <v>-0.493714256427749</v>
      </c>
      <c r="M83" s="196">
        <v>0.00322521278702397</v>
      </c>
      <c r="N83" s="196">
        <v>0.115152928256927</v>
      </c>
      <c r="O83" s="196">
        <v>0.0580766868995018</v>
      </c>
      <c r="P83" s="196">
        <v>-4.02521563885591</v>
      </c>
    </row>
    <row r="84" ht="15.75" customHeight="1">
      <c r="A84" s="196" t="s">
        <v>280</v>
      </c>
      <c r="B84" s="196" t="str">
        <f t="shared" si="1"/>
        <v>MediumOffice_Post1980_2A_74_16_19_0_6_17</v>
      </c>
      <c r="C84" s="196">
        <v>74.0</v>
      </c>
      <c r="D84" s="196">
        <v>16.0</v>
      </c>
      <c r="E84" s="196">
        <v>19.0</v>
      </c>
      <c r="F84" s="196">
        <v>0.0</v>
      </c>
      <c r="G84" s="196">
        <v>6.0</v>
      </c>
      <c r="H84" s="196">
        <v>17.0</v>
      </c>
      <c r="I84" s="196">
        <v>0.00266091332070378</v>
      </c>
      <c r="J84" s="196">
        <v>-0.113013522698453</v>
      </c>
      <c r="K84" s="196">
        <v>0.00849099998441564</v>
      </c>
      <c r="L84" s="196">
        <v>-0.552283755118961</v>
      </c>
      <c r="M84" s="196">
        <v>0.0110716807678976</v>
      </c>
      <c r="N84" s="196">
        <v>-0.540290646115469</v>
      </c>
      <c r="O84" s="196">
        <v>0.0516893879575932</v>
      </c>
      <c r="P84" s="196">
        <v>-3.66534785747843</v>
      </c>
    </row>
    <row r="85" ht="15.75" customHeight="1">
      <c r="A85" s="196" t="s">
        <v>280</v>
      </c>
      <c r="B85" s="196" t="str">
        <f t="shared" si="1"/>
        <v>MediumOffice_Post1980_2A_74_16_19_0_6_18</v>
      </c>
      <c r="C85" s="196">
        <v>74.0</v>
      </c>
      <c r="D85" s="196">
        <v>16.0</v>
      </c>
      <c r="E85" s="196">
        <v>19.0</v>
      </c>
      <c r="F85" s="196">
        <v>0.0</v>
      </c>
      <c r="G85" s="196">
        <v>6.0</v>
      </c>
      <c r="H85" s="196">
        <v>18.0</v>
      </c>
      <c r="I85" s="196">
        <v>0.00158016081470743</v>
      </c>
      <c r="J85" s="196">
        <v>-0.0950607752400503</v>
      </c>
      <c r="K85" s="196">
        <v>0.0103373582027343</v>
      </c>
      <c r="L85" s="196">
        <v>-0.759425141002738</v>
      </c>
      <c r="M85" s="196">
        <v>0.00401370693981433</v>
      </c>
      <c r="N85" s="196">
        <v>-0.24544124571728</v>
      </c>
      <c r="O85" s="196">
        <v>0.040436694105313</v>
      </c>
      <c r="P85" s="196">
        <v>-3.05082046132749</v>
      </c>
    </row>
    <row r="86" ht="15.75" customHeight="1">
      <c r="A86" s="196" t="s">
        <v>281</v>
      </c>
      <c r="B86" s="196" t="str">
        <f t="shared" si="1"/>
        <v>MediumOffice_Post1980_2A_74_16_19_2_0_16</v>
      </c>
      <c r="C86" s="196">
        <v>74.0</v>
      </c>
      <c r="D86" s="196">
        <v>16.0</v>
      </c>
      <c r="E86" s="196">
        <v>19.0</v>
      </c>
      <c r="F86" s="196">
        <v>2.0</v>
      </c>
      <c r="G86" s="196">
        <v>0.0</v>
      </c>
      <c r="H86" s="196">
        <v>16.0</v>
      </c>
      <c r="I86" s="196">
        <v>-1.75077392501469E-4</v>
      </c>
      <c r="J86" s="196">
        <v>0.0527834948028636</v>
      </c>
      <c r="K86" s="196">
        <v>-6.0942799260544E-4</v>
      </c>
      <c r="L86" s="196">
        <v>0.101826258345587</v>
      </c>
      <c r="M86" s="196">
        <v>4.88155265005802E-4</v>
      </c>
      <c r="N86" s="196">
        <v>0.126312743799814</v>
      </c>
      <c r="O86" s="196">
        <v>4.88855955316285E-4</v>
      </c>
      <c r="P86" s="196">
        <v>0.205435046588589</v>
      </c>
    </row>
    <row r="87" ht="15.75" customHeight="1">
      <c r="A87" s="196" t="s">
        <v>281</v>
      </c>
      <c r="B87" s="196" t="str">
        <f t="shared" si="1"/>
        <v>MediumOffice_Post1980_2A_74_16_19_2_0_17</v>
      </c>
      <c r="C87" s="196">
        <v>74.0</v>
      </c>
      <c r="D87" s="196">
        <v>16.0</v>
      </c>
      <c r="E87" s="196">
        <v>19.0</v>
      </c>
      <c r="F87" s="196">
        <v>2.0</v>
      </c>
      <c r="G87" s="196">
        <v>0.0</v>
      </c>
      <c r="H87" s="196">
        <v>17.0</v>
      </c>
      <c r="I87" s="196">
        <v>2.56346343991204E-4</v>
      </c>
      <c r="J87" s="196">
        <v>0.00183396101956134</v>
      </c>
      <c r="K87" s="243">
        <v>5.11718049757489E-5</v>
      </c>
      <c r="L87" s="196">
        <v>0.0248041324000552</v>
      </c>
      <c r="M87" s="196">
        <v>0.00157856551587842</v>
      </c>
      <c r="N87" s="196">
        <v>-0.0469905574639588</v>
      </c>
      <c r="O87" s="196">
        <v>0.00242774826837843</v>
      </c>
      <c r="P87" s="196">
        <v>-0.0848424857972633</v>
      </c>
    </row>
    <row r="88" ht="15.75" customHeight="1">
      <c r="A88" s="196" t="s">
        <v>281</v>
      </c>
      <c r="B88" s="196" t="str">
        <f t="shared" si="1"/>
        <v>MediumOffice_Post1980_2A_74_16_19_2_0_18</v>
      </c>
      <c r="C88" s="196">
        <v>74.0</v>
      </c>
      <c r="D88" s="196">
        <v>16.0</v>
      </c>
      <c r="E88" s="196">
        <v>19.0</v>
      </c>
      <c r="F88" s="196">
        <v>2.0</v>
      </c>
      <c r="G88" s="196">
        <v>0.0</v>
      </c>
      <c r="H88" s="196">
        <v>18.0</v>
      </c>
      <c r="I88" s="196">
        <v>0.001423617937588</v>
      </c>
      <c r="J88" s="196">
        <v>-0.0888195330806543</v>
      </c>
      <c r="K88" s="196">
        <v>5.50116121146094E-4</v>
      </c>
      <c r="L88" s="196">
        <v>-0.0189313888330058</v>
      </c>
      <c r="M88" s="196">
        <v>0.00347558336984633</v>
      </c>
      <c r="N88" s="196">
        <v>-0.21843820032362</v>
      </c>
      <c r="O88" s="196">
        <v>0.00332199834301875</v>
      </c>
      <c r="P88" s="196">
        <v>-0.196252564843165</v>
      </c>
    </row>
    <row r="89" ht="15.75" customHeight="1">
      <c r="A89" s="196" t="s">
        <v>282</v>
      </c>
      <c r="B89" s="196" t="str">
        <f t="shared" si="1"/>
        <v>MediumOffice_Post1980_2A_74_16_19_2_2_16</v>
      </c>
      <c r="C89" s="196">
        <v>74.0</v>
      </c>
      <c r="D89" s="196">
        <v>16.0</v>
      </c>
      <c r="E89" s="196">
        <v>19.0</v>
      </c>
      <c r="F89" s="196">
        <v>2.0</v>
      </c>
      <c r="G89" s="196">
        <v>2.0</v>
      </c>
      <c r="H89" s="196">
        <v>16.0</v>
      </c>
      <c r="I89" s="196">
        <v>2.29954068697971E-4</v>
      </c>
      <c r="J89" s="196">
        <v>0.0686924982679272</v>
      </c>
      <c r="K89" s="196">
        <v>0.00342449674658751</v>
      </c>
      <c r="L89" s="196">
        <v>-0.138387874308108</v>
      </c>
      <c r="M89" s="196">
        <v>0.00369096195797507</v>
      </c>
      <c r="N89" s="196">
        <v>0.0777209983609811</v>
      </c>
      <c r="O89" s="196">
        <v>0.0306789318000323</v>
      </c>
      <c r="P89" s="196">
        <v>-1.8387672649401</v>
      </c>
    </row>
    <row r="90" ht="15.75" customHeight="1">
      <c r="A90" s="196" t="s">
        <v>282</v>
      </c>
      <c r="B90" s="196" t="str">
        <f t="shared" si="1"/>
        <v>MediumOffice_Post1980_2A_74_16_19_2_2_17</v>
      </c>
      <c r="C90" s="196">
        <v>74.0</v>
      </c>
      <c r="D90" s="196">
        <v>16.0</v>
      </c>
      <c r="E90" s="196">
        <v>19.0</v>
      </c>
      <c r="F90" s="196">
        <v>2.0</v>
      </c>
      <c r="G90" s="196">
        <v>2.0</v>
      </c>
      <c r="H90" s="196">
        <v>17.0</v>
      </c>
      <c r="I90" s="196">
        <v>0.00232874515603654</v>
      </c>
      <c r="J90" s="196">
        <v>-0.103212348793592</v>
      </c>
      <c r="K90" s="196">
        <v>0.0031708225531434</v>
      </c>
      <c r="L90" s="196">
        <v>-0.148214661220791</v>
      </c>
      <c r="M90" s="196">
        <v>0.00962364645683593</v>
      </c>
      <c r="N90" s="196">
        <v>-0.481713029603099</v>
      </c>
      <c r="O90" s="196">
        <v>0.0233873305359679</v>
      </c>
      <c r="P90" s="196">
        <v>-1.47304932057088</v>
      </c>
    </row>
    <row r="91" ht="15.75" customHeight="1">
      <c r="A91" s="196" t="s">
        <v>282</v>
      </c>
      <c r="B91" s="196" t="str">
        <f t="shared" si="1"/>
        <v>MediumOffice_Post1980_2A_74_16_19_2_2_18</v>
      </c>
      <c r="C91" s="196">
        <v>74.0</v>
      </c>
      <c r="D91" s="196">
        <v>16.0</v>
      </c>
      <c r="E91" s="196">
        <v>19.0</v>
      </c>
      <c r="F91" s="196">
        <v>2.0</v>
      </c>
      <c r="G91" s="196">
        <v>2.0</v>
      </c>
      <c r="H91" s="196">
        <v>18.0</v>
      </c>
      <c r="I91" s="196">
        <v>0.00214405954391873</v>
      </c>
      <c r="J91" s="196">
        <v>-0.132679063997989</v>
      </c>
      <c r="K91" s="196">
        <v>0.00627125398841442</v>
      </c>
      <c r="L91" s="196">
        <v>-0.432061742452198</v>
      </c>
      <c r="M91" s="196">
        <v>0.00530123940169885</v>
      </c>
      <c r="N91" s="196">
        <v>-0.331165431731515</v>
      </c>
      <c r="O91" s="196">
        <v>0.0255707240081987</v>
      </c>
      <c r="P91" s="196">
        <v>-1.85113395936253</v>
      </c>
    </row>
    <row r="92" ht="15.75" customHeight="1">
      <c r="A92" s="196" t="s">
        <v>283</v>
      </c>
      <c r="B92" s="196" t="str">
        <f t="shared" si="1"/>
        <v>MediumOffice_Post1980_2A_74_16_19_2_4_16</v>
      </c>
      <c r="C92" s="196">
        <v>74.0</v>
      </c>
      <c r="D92" s="196">
        <v>16.0</v>
      </c>
      <c r="E92" s="196">
        <v>19.0</v>
      </c>
      <c r="F92" s="196">
        <v>2.0</v>
      </c>
      <c r="G92" s="196">
        <v>4.0</v>
      </c>
      <c r="H92" s="196">
        <v>16.0</v>
      </c>
      <c r="I92" s="196">
        <v>1.54906404882243E-4</v>
      </c>
      <c r="J92" s="196">
        <v>0.0786130501746604</v>
      </c>
      <c r="K92" s="196">
        <v>0.00671529765442093</v>
      </c>
      <c r="L92" s="196">
        <v>-0.391450115799201</v>
      </c>
      <c r="M92" s="196">
        <v>0.00355706924289184</v>
      </c>
      <c r="N92" s="196">
        <v>0.105549342632483</v>
      </c>
      <c r="O92" s="196">
        <v>0.0511379163369725</v>
      </c>
      <c r="P92" s="196">
        <v>-3.43767552554885</v>
      </c>
    </row>
    <row r="93" ht="15.75" customHeight="1">
      <c r="A93" s="196" t="s">
        <v>283</v>
      </c>
      <c r="B93" s="196" t="str">
        <f t="shared" si="1"/>
        <v>MediumOffice_Post1980_2A_74_16_19_2_4_17</v>
      </c>
      <c r="C93" s="196">
        <v>74.0</v>
      </c>
      <c r="D93" s="196">
        <v>16.0</v>
      </c>
      <c r="E93" s="196">
        <v>19.0</v>
      </c>
      <c r="F93" s="196">
        <v>2.0</v>
      </c>
      <c r="G93" s="196">
        <v>4.0</v>
      </c>
      <c r="H93" s="196">
        <v>17.0</v>
      </c>
      <c r="I93" s="196">
        <v>0.00263718626629127</v>
      </c>
      <c r="J93" s="196">
        <v>-0.110162477725809</v>
      </c>
      <c r="K93" s="196">
        <v>0.00663972701864981</v>
      </c>
      <c r="L93" s="196">
        <v>-0.402710069451615</v>
      </c>
      <c r="M93" s="196">
        <v>0.0110006806838195</v>
      </c>
      <c r="N93" s="196">
        <v>-0.53157546681254</v>
      </c>
      <c r="O93" s="196">
        <v>0.0423332391172674</v>
      </c>
      <c r="P93" s="196">
        <v>-2.90650214591899</v>
      </c>
    </row>
    <row r="94" ht="15.75" customHeight="1">
      <c r="A94" s="196" t="s">
        <v>283</v>
      </c>
      <c r="B94" s="196" t="str">
        <f t="shared" si="1"/>
        <v>MediumOffice_Post1980_2A_74_16_19_2_4_18</v>
      </c>
      <c r="C94" s="196">
        <v>74.0</v>
      </c>
      <c r="D94" s="196">
        <v>16.0</v>
      </c>
      <c r="E94" s="196">
        <v>19.0</v>
      </c>
      <c r="F94" s="196">
        <v>2.0</v>
      </c>
      <c r="G94" s="196">
        <v>4.0</v>
      </c>
      <c r="H94" s="196">
        <v>18.0</v>
      </c>
      <c r="I94" s="196">
        <v>0.00211101880733931</v>
      </c>
      <c r="J94" s="196">
        <v>-0.130548778133301</v>
      </c>
      <c r="K94" s="196">
        <v>0.00932208909254469</v>
      </c>
      <c r="L94" s="196">
        <v>-0.674126829859532</v>
      </c>
      <c r="M94" s="196">
        <v>0.00521627415847029</v>
      </c>
      <c r="N94" s="196">
        <v>-0.325705869606646</v>
      </c>
      <c r="O94" s="196">
        <v>0.0367796430900637</v>
      </c>
      <c r="P94" s="196">
        <v>-2.74493608627003</v>
      </c>
    </row>
    <row r="95" ht="15.75" customHeight="1">
      <c r="A95" s="196" t="s">
        <v>284</v>
      </c>
      <c r="B95" s="196" t="str">
        <f t="shared" si="1"/>
        <v>MediumOffice_Post1980_2A_74_16_19_2_6_16</v>
      </c>
      <c r="C95" s="196">
        <v>74.0</v>
      </c>
      <c r="D95" s="196">
        <v>16.0</v>
      </c>
      <c r="E95" s="196">
        <v>19.0</v>
      </c>
      <c r="F95" s="196">
        <v>2.0</v>
      </c>
      <c r="G95" s="196">
        <v>6.0</v>
      </c>
      <c r="H95" s="196">
        <v>16.0</v>
      </c>
      <c r="I95" s="196">
        <v>1.54748794227737E-4</v>
      </c>
      <c r="J95" s="196">
        <v>0.0786233929260214</v>
      </c>
      <c r="K95" s="196">
        <v>0.00783764327289299</v>
      </c>
      <c r="L95" s="196">
        <v>-0.483386747934667</v>
      </c>
      <c r="M95" s="196">
        <v>0.00355639822173421</v>
      </c>
      <c r="N95" s="196">
        <v>0.105593588121313</v>
      </c>
      <c r="O95" s="196">
        <v>0.0578669623676732</v>
      </c>
      <c r="P95" s="196">
        <v>-3.99063386248029</v>
      </c>
    </row>
    <row r="96" ht="15.75" customHeight="1">
      <c r="A96" s="196" t="s">
        <v>284</v>
      </c>
      <c r="B96" s="196" t="str">
        <f t="shared" si="1"/>
        <v>MediumOffice_Post1980_2A_74_16_19_2_6_17</v>
      </c>
      <c r="C96" s="196">
        <v>74.0</v>
      </c>
      <c r="D96" s="196">
        <v>16.0</v>
      </c>
      <c r="E96" s="196">
        <v>19.0</v>
      </c>
      <c r="F96" s="196">
        <v>2.0</v>
      </c>
      <c r="G96" s="196">
        <v>6.0</v>
      </c>
      <c r="H96" s="196">
        <v>17.0</v>
      </c>
      <c r="I96" s="196">
        <v>0.00263331341170893</v>
      </c>
      <c r="J96" s="196">
        <v>-0.108738133795801</v>
      </c>
      <c r="K96" s="196">
        <v>0.00854718153560228</v>
      </c>
      <c r="L96" s="196">
        <v>-0.55439384850572</v>
      </c>
      <c r="M96" s="196">
        <v>0.0110495971411555</v>
      </c>
      <c r="N96" s="196">
        <v>-0.531226110289502</v>
      </c>
      <c r="O96" s="196">
        <v>0.0521588052920822</v>
      </c>
      <c r="P96" s="196">
        <v>-3.69416525970719</v>
      </c>
    </row>
    <row r="97" ht="15.75" customHeight="1">
      <c r="A97" s="196" t="s">
        <v>284</v>
      </c>
      <c r="B97" s="196" t="str">
        <f t="shared" si="1"/>
        <v>MediumOffice_Post1980_2A_74_16_19_2_6_18</v>
      </c>
      <c r="C97" s="196">
        <v>74.0</v>
      </c>
      <c r="D97" s="196">
        <v>16.0</v>
      </c>
      <c r="E97" s="196">
        <v>19.0</v>
      </c>
      <c r="F97" s="196">
        <v>2.0</v>
      </c>
      <c r="G97" s="196">
        <v>6.0</v>
      </c>
      <c r="H97" s="196">
        <v>18.0</v>
      </c>
      <c r="I97" s="196">
        <v>0.00207232942165635</v>
      </c>
      <c r="J97" s="196">
        <v>-0.128104713430418</v>
      </c>
      <c r="K97" s="196">
        <v>0.0103404577382908</v>
      </c>
      <c r="L97" s="196">
        <v>-0.757183759222448</v>
      </c>
      <c r="M97" s="196">
        <v>0.00512213531550807</v>
      </c>
      <c r="N97" s="196">
        <v>-0.319719864038894</v>
      </c>
      <c r="O97" s="196">
        <v>0.0406416475247806</v>
      </c>
      <c r="P97" s="196">
        <v>-3.06064942113136</v>
      </c>
    </row>
    <row r="98" ht="15.75" customHeight="1">
      <c r="A98" s="196" t="s">
        <v>285</v>
      </c>
      <c r="B98" s="196" t="str">
        <f t="shared" si="1"/>
        <v>SecondarySchool_Pre1980_2A_74_16_19_0_0_16</v>
      </c>
      <c r="C98" s="196">
        <v>74.0</v>
      </c>
      <c r="D98" s="196">
        <v>16.0</v>
      </c>
      <c r="E98" s="196">
        <v>19.0</v>
      </c>
      <c r="F98" s="196">
        <v>0.0</v>
      </c>
      <c r="G98" s="196">
        <v>0.0</v>
      </c>
      <c r="H98" s="196">
        <v>16.0</v>
      </c>
      <c r="I98" s="196">
        <v>0.0</v>
      </c>
      <c r="J98" s="196">
        <v>0.0</v>
      </c>
      <c r="K98" s="196">
        <v>0.0</v>
      </c>
      <c r="L98" s="196">
        <v>0.0</v>
      </c>
      <c r="M98" s="196">
        <v>0.0</v>
      </c>
      <c r="N98" s="196">
        <v>0.0</v>
      </c>
      <c r="O98" s="196">
        <v>0.0</v>
      </c>
      <c r="P98" s="196">
        <v>0.0</v>
      </c>
    </row>
    <row r="99" ht="15.75" customHeight="1">
      <c r="A99" s="196" t="s">
        <v>285</v>
      </c>
      <c r="B99" s="196" t="str">
        <f t="shared" si="1"/>
        <v>SecondarySchool_Pre1980_2A_74_16_19_0_0_17</v>
      </c>
      <c r="C99" s="196">
        <v>74.0</v>
      </c>
      <c r="D99" s="196">
        <v>16.0</v>
      </c>
      <c r="E99" s="196">
        <v>19.0</v>
      </c>
      <c r="F99" s="196">
        <v>0.0</v>
      </c>
      <c r="G99" s="196">
        <v>0.0</v>
      </c>
      <c r="H99" s="196">
        <v>17.0</v>
      </c>
      <c r="I99" s="196">
        <v>0.0</v>
      </c>
      <c r="J99" s="196">
        <v>0.0</v>
      </c>
      <c r="K99" s="196">
        <v>0.0</v>
      </c>
      <c r="L99" s="196">
        <v>0.0</v>
      </c>
      <c r="M99" s="196">
        <v>0.0</v>
      </c>
      <c r="N99" s="196">
        <v>0.0</v>
      </c>
      <c r="O99" s="196">
        <v>0.0</v>
      </c>
      <c r="P99" s="196">
        <v>0.0</v>
      </c>
    </row>
    <row r="100" ht="15.75" customHeight="1">
      <c r="A100" s="196" t="s">
        <v>285</v>
      </c>
      <c r="B100" s="196" t="str">
        <f t="shared" si="1"/>
        <v>SecondarySchool_Pre1980_2A_74_16_19_0_0_18</v>
      </c>
      <c r="C100" s="196">
        <v>74.0</v>
      </c>
      <c r="D100" s="196">
        <v>16.0</v>
      </c>
      <c r="E100" s="196">
        <v>19.0</v>
      </c>
      <c r="F100" s="196">
        <v>0.0</v>
      </c>
      <c r="G100" s="196">
        <v>0.0</v>
      </c>
      <c r="H100" s="196">
        <v>18.0</v>
      </c>
      <c r="I100" s="196">
        <v>0.0</v>
      </c>
      <c r="J100" s="196">
        <v>0.0</v>
      </c>
      <c r="K100" s="196">
        <v>0.0</v>
      </c>
      <c r="L100" s="196">
        <v>0.0</v>
      </c>
      <c r="M100" s="196">
        <v>0.0</v>
      </c>
      <c r="N100" s="196">
        <v>0.0</v>
      </c>
      <c r="O100" s="196">
        <v>0.0</v>
      </c>
      <c r="P100" s="196">
        <v>0.0</v>
      </c>
    </row>
    <row r="101" ht="15.75" customHeight="1">
      <c r="A101" s="196" t="s">
        <v>286</v>
      </c>
      <c r="B101" s="196" t="str">
        <f t="shared" si="1"/>
        <v>SecondarySchool_Pre1980_2A_74_16_19_0_2_16</v>
      </c>
      <c r="C101" s="196">
        <v>74.0</v>
      </c>
      <c r="D101" s="196">
        <v>16.0</v>
      </c>
      <c r="E101" s="196">
        <v>19.0</v>
      </c>
      <c r="F101" s="196">
        <v>0.0</v>
      </c>
      <c r="G101" s="196">
        <v>2.0</v>
      </c>
      <c r="H101" s="196">
        <v>16.0</v>
      </c>
      <c r="I101" s="196">
        <v>-0.00514802269503013</v>
      </c>
      <c r="J101" s="196">
        <v>0.432543956882521</v>
      </c>
      <c r="K101" s="196">
        <v>0.00187953016932038</v>
      </c>
      <c r="L101" s="196">
        <v>-0.0737003846295277</v>
      </c>
      <c r="M101" s="196">
        <v>-0.011405577101779</v>
      </c>
      <c r="N101" s="196">
        <v>1.06231463450955</v>
      </c>
      <c r="O101" s="196">
        <v>0.0159545330177764</v>
      </c>
      <c r="P101" s="196">
        <v>-0.935051586114787</v>
      </c>
    </row>
    <row r="102" ht="15.75" customHeight="1">
      <c r="A102" s="196" t="s">
        <v>286</v>
      </c>
      <c r="B102" s="196" t="str">
        <f t="shared" si="1"/>
        <v>SecondarySchool_Pre1980_2A_74_16_19_0_2_17</v>
      </c>
      <c r="C102" s="196">
        <v>74.0</v>
      </c>
      <c r="D102" s="196">
        <v>16.0</v>
      </c>
      <c r="E102" s="196">
        <v>19.0</v>
      </c>
      <c r="F102" s="196">
        <v>0.0</v>
      </c>
      <c r="G102" s="196">
        <v>2.0</v>
      </c>
      <c r="H102" s="196">
        <v>17.0</v>
      </c>
      <c r="I102" s="196">
        <v>-0.0048070277377179</v>
      </c>
      <c r="J102" s="196">
        <v>0.395067390206353</v>
      </c>
      <c r="K102" s="196">
        <v>0.00156795547669326</v>
      </c>
      <c r="L102" s="196">
        <v>-0.0547728697448231</v>
      </c>
      <c r="M102" s="196">
        <v>-0.00757926197677176</v>
      </c>
      <c r="N102" s="196">
        <v>0.709341105029421</v>
      </c>
      <c r="O102" s="196">
        <v>0.013536571982559</v>
      </c>
      <c r="P102" s="196">
        <v>-0.804613744006825</v>
      </c>
    </row>
    <row r="103" ht="15.75" customHeight="1">
      <c r="A103" s="196" t="s">
        <v>286</v>
      </c>
      <c r="B103" s="196" t="str">
        <f t="shared" si="1"/>
        <v>SecondarySchool_Pre1980_2A_74_16_19_0_2_18</v>
      </c>
      <c r="C103" s="196">
        <v>74.0</v>
      </c>
      <c r="D103" s="196">
        <v>16.0</v>
      </c>
      <c r="E103" s="196">
        <v>19.0</v>
      </c>
      <c r="F103" s="196">
        <v>0.0</v>
      </c>
      <c r="G103" s="196">
        <v>2.0</v>
      </c>
      <c r="H103" s="196">
        <v>18.0</v>
      </c>
      <c r="I103" s="196">
        <v>0.001331233987588</v>
      </c>
      <c r="J103" s="196">
        <v>-0.0565360829971555</v>
      </c>
      <c r="K103" s="196">
        <v>0.001404076100773</v>
      </c>
      <c r="L103" s="196">
        <v>-0.0375120660181238</v>
      </c>
      <c r="M103" s="196">
        <v>0.00803722455473661</v>
      </c>
      <c r="N103" s="196">
        <v>-0.44693954866481</v>
      </c>
      <c r="O103" s="196">
        <v>0.0118179872177196</v>
      </c>
      <c r="P103" s="196">
        <v>-0.651618716009838</v>
      </c>
    </row>
    <row r="104" ht="15.75" customHeight="1">
      <c r="A104" s="196" t="s">
        <v>287</v>
      </c>
      <c r="B104" s="196" t="str">
        <f t="shared" si="1"/>
        <v>SecondarySchool_Pre1980_2A_74_16_19_0_4_16</v>
      </c>
      <c r="C104" s="196">
        <v>74.0</v>
      </c>
      <c r="D104" s="196">
        <v>16.0</v>
      </c>
      <c r="E104" s="196">
        <v>19.0</v>
      </c>
      <c r="F104" s="196">
        <v>0.0</v>
      </c>
      <c r="G104" s="196">
        <v>4.0</v>
      </c>
      <c r="H104" s="196">
        <v>16.0</v>
      </c>
      <c r="I104" s="196">
        <v>-0.0102695408776132</v>
      </c>
      <c r="J104" s="196">
        <v>0.847368365574151</v>
      </c>
      <c r="K104" s="196">
        <v>0.00259725351643214</v>
      </c>
      <c r="L104" s="196">
        <v>-0.0723498438027677</v>
      </c>
      <c r="M104" s="196">
        <v>-0.0252281844069656</v>
      </c>
      <c r="N104" s="196">
        <v>2.23416767691247</v>
      </c>
      <c r="O104" s="196">
        <v>0.025177943640059</v>
      </c>
      <c r="P104" s="196">
        <v>-1.4228871680025</v>
      </c>
    </row>
    <row r="105" ht="15.75" customHeight="1">
      <c r="A105" s="196" t="s">
        <v>287</v>
      </c>
      <c r="B105" s="196" t="str">
        <f t="shared" si="1"/>
        <v>SecondarySchool_Pre1980_2A_74_16_19_0_4_17</v>
      </c>
      <c r="C105" s="196">
        <v>74.0</v>
      </c>
      <c r="D105" s="196">
        <v>16.0</v>
      </c>
      <c r="E105" s="196">
        <v>19.0</v>
      </c>
      <c r="F105" s="196">
        <v>0.0</v>
      </c>
      <c r="G105" s="196">
        <v>4.0</v>
      </c>
      <c r="H105" s="196">
        <v>17.0</v>
      </c>
      <c r="I105" s="196">
        <v>-0.0107176861010462</v>
      </c>
      <c r="J105" s="196">
        <v>0.868036828493618</v>
      </c>
      <c r="K105" s="196">
        <v>0.00140244845946338</v>
      </c>
      <c r="L105" s="196">
        <v>0.0238692565203806</v>
      </c>
      <c r="M105" s="196">
        <v>-0.0198391075367071</v>
      </c>
      <c r="N105" s="196">
        <v>1.74735765235518</v>
      </c>
      <c r="O105" s="196">
        <v>0.0186793292335005</v>
      </c>
      <c r="P105" s="196">
        <v>-0.963073158343734</v>
      </c>
    </row>
    <row r="106" ht="15.75" customHeight="1">
      <c r="A106" s="196" t="s">
        <v>287</v>
      </c>
      <c r="B106" s="196" t="str">
        <f t="shared" si="1"/>
        <v>SecondarySchool_Pre1980_2A_74_16_19_0_4_18</v>
      </c>
      <c r="C106" s="196">
        <v>74.0</v>
      </c>
      <c r="D106" s="196">
        <v>16.0</v>
      </c>
      <c r="E106" s="196">
        <v>19.0</v>
      </c>
      <c r="F106" s="196">
        <v>0.0</v>
      </c>
      <c r="G106" s="196">
        <v>4.0</v>
      </c>
      <c r="H106" s="196">
        <v>18.0</v>
      </c>
      <c r="I106" s="196">
        <v>0.00203330967606775</v>
      </c>
      <c r="J106" s="196">
        <v>-0.0688711260936659</v>
      </c>
      <c r="K106" s="196">
        <v>8.91248073574436E-4</v>
      </c>
      <c r="L106" s="196">
        <v>0.074443218548048</v>
      </c>
      <c r="M106" s="196">
        <v>0.0134395052999695</v>
      </c>
      <c r="N106" s="196">
        <v>-0.710714904254286</v>
      </c>
      <c r="O106" s="196">
        <v>0.0156686926913563</v>
      </c>
      <c r="P106" s="196">
        <v>-0.682750153257605</v>
      </c>
    </row>
    <row r="107" ht="15.75" customHeight="1">
      <c r="A107" s="196" t="s">
        <v>288</v>
      </c>
      <c r="B107" s="196" t="str">
        <f t="shared" si="1"/>
        <v>SecondarySchool_Pre1980_2A_74_16_19_0_6_16</v>
      </c>
      <c r="C107" s="196">
        <v>74.0</v>
      </c>
      <c r="D107" s="196">
        <v>16.0</v>
      </c>
      <c r="E107" s="196">
        <v>19.0</v>
      </c>
      <c r="F107" s="196">
        <v>0.0</v>
      </c>
      <c r="G107" s="196">
        <v>6.0</v>
      </c>
      <c r="H107" s="196">
        <v>16.0</v>
      </c>
      <c r="I107" s="196">
        <v>-0.0120151108220257</v>
      </c>
      <c r="J107" s="196">
        <v>1.02287730994856</v>
      </c>
      <c r="K107" s="196">
        <v>0.00446340143901964</v>
      </c>
      <c r="L107" s="196">
        <v>-0.152083109604285</v>
      </c>
      <c r="M107" s="196">
        <v>-0.0261973149614402</v>
      </c>
      <c r="N107" s="196">
        <v>2.49829160932022</v>
      </c>
      <c r="O107" s="196">
        <v>0.0399075903059489</v>
      </c>
      <c r="P107" s="196">
        <v>-2.28690622806354</v>
      </c>
    </row>
    <row r="108" ht="15.75" customHeight="1">
      <c r="A108" s="196" t="s">
        <v>288</v>
      </c>
      <c r="B108" s="196" t="str">
        <f t="shared" si="1"/>
        <v>SecondarySchool_Pre1980_2A_74_16_19_0_6_17</v>
      </c>
      <c r="C108" s="196">
        <v>74.0</v>
      </c>
      <c r="D108" s="196">
        <v>16.0</v>
      </c>
      <c r="E108" s="196">
        <v>19.0</v>
      </c>
      <c r="F108" s="196">
        <v>0.0</v>
      </c>
      <c r="G108" s="196">
        <v>6.0</v>
      </c>
      <c r="H108" s="196">
        <v>17.0</v>
      </c>
      <c r="I108" s="196">
        <v>-0.0115070212075652</v>
      </c>
      <c r="J108" s="196">
        <v>0.963663567154038</v>
      </c>
      <c r="K108" s="196">
        <v>0.0031973952302015</v>
      </c>
      <c r="L108" s="196">
        <v>-0.0561033719709814</v>
      </c>
      <c r="M108" s="196">
        <v>-0.0168128315226915</v>
      </c>
      <c r="N108" s="196">
        <v>1.66167340557154</v>
      </c>
      <c r="O108" s="196">
        <v>0.03228996221317</v>
      </c>
      <c r="P108" s="196">
        <v>-1.79415391754585</v>
      </c>
    </row>
    <row r="109" ht="15.75" customHeight="1">
      <c r="A109" s="196" t="s">
        <v>288</v>
      </c>
      <c r="B109" s="196" t="str">
        <f t="shared" si="1"/>
        <v>SecondarySchool_Pre1980_2A_74_16_19_0_6_18</v>
      </c>
      <c r="C109" s="196">
        <v>74.0</v>
      </c>
      <c r="D109" s="196">
        <v>16.0</v>
      </c>
      <c r="E109" s="196">
        <v>19.0</v>
      </c>
      <c r="F109" s="196">
        <v>0.0</v>
      </c>
      <c r="G109" s="196">
        <v>6.0</v>
      </c>
      <c r="H109" s="196">
        <v>18.0</v>
      </c>
      <c r="I109" s="196">
        <v>0.00495624432054569</v>
      </c>
      <c r="J109" s="196">
        <v>-0.247543283084924</v>
      </c>
      <c r="K109" s="196">
        <v>0.00295640209256442</v>
      </c>
      <c r="L109" s="196">
        <v>-0.023441847038213</v>
      </c>
      <c r="M109" s="196">
        <v>0.0253374836637096</v>
      </c>
      <c r="N109" s="196">
        <v>-1.45856476053472</v>
      </c>
      <c r="O109" s="196">
        <v>0.0292894369187352</v>
      </c>
      <c r="P109" s="196">
        <v>-1.50215570195442</v>
      </c>
    </row>
    <row r="110" ht="15.75" customHeight="1">
      <c r="A110" s="196" t="s">
        <v>289</v>
      </c>
      <c r="B110" s="196" t="str">
        <f t="shared" si="1"/>
        <v>SecondarySchool_Pre1980_2A_74_16_19_2_2_16</v>
      </c>
      <c r="C110" s="196">
        <v>74.0</v>
      </c>
      <c r="D110" s="196">
        <v>16.0</v>
      </c>
      <c r="E110" s="196">
        <v>19.0</v>
      </c>
      <c r="F110" s="196">
        <v>2.0</v>
      </c>
      <c r="G110" s="196">
        <v>2.0</v>
      </c>
      <c r="H110" s="196">
        <v>16.0</v>
      </c>
      <c r="I110" s="196">
        <v>-0.00570148039760774</v>
      </c>
      <c r="J110" s="196">
        <v>0.473272121293362</v>
      </c>
      <c r="K110" s="196">
        <v>0.0014848105977571</v>
      </c>
      <c r="L110" s="196">
        <v>-0.0354596592312854</v>
      </c>
      <c r="M110" s="196">
        <v>-0.0136194174249778</v>
      </c>
      <c r="N110" s="196">
        <v>1.22353198086374</v>
      </c>
      <c r="O110" s="196">
        <v>0.0146530384386149</v>
      </c>
      <c r="P110" s="196">
        <v>-0.807869784120361</v>
      </c>
    </row>
    <row r="111" ht="15.75" customHeight="1">
      <c r="A111" s="196" t="s">
        <v>289</v>
      </c>
      <c r="B111" s="196" t="str">
        <f t="shared" si="1"/>
        <v>SecondarySchool_Pre1980_2A_74_16_19_2_2_17</v>
      </c>
      <c r="C111" s="196">
        <v>74.0</v>
      </c>
      <c r="D111" s="196">
        <v>16.0</v>
      </c>
      <c r="E111" s="196">
        <v>19.0</v>
      </c>
      <c r="F111" s="196">
        <v>2.0</v>
      </c>
      <c r="G111" s="196">
        <v>2.0</v>
      </c>
      <c r="H111" s="196">
        <v>17.0</v>
      </c>
      <c r="I111" s="196">
        <v>-0.00575009453908835</v>
      </c>
      <c r="J111" s="196">
        <v>0.464344831001703</v>
      </c>
      <c r="K111" s="196">
        <v>9.61194942104976E-4</v>
      </c>
      <c r="L111" s="196">
        <v>-0.0039346269238617</v>
      </c>
      <c r="M111" s="196">
        <v>-0.0107710558069996</v>
      </c>
      <c r="N111" s="196">
        <v>0.941975220867038</v>
      </c>
      <c r="O111" s="196">
        <v>0.0110360154257575</v>
      </c>
      <c r="P111" s="196">
        <v>-0.598207601803854</v>
      </c>
    </row>
    <row r="112" ht="15.75" customHeight="1">
      <c r="A112" s="196" t="s">
        <v>289</v>
      </c>
      <c r="B112" s="196" t="str">
        <f t="shared" si="1"/>
        <v>SecondarySchool_Pre1980_2A_74_16_19_2_2_18</v>
      </c>
      <c r="C112" s="196">
        <v>74.0</v>
      </c>
      <c r="D112" s="196">
        <v>16.0</v>
      </c>
      <c r="E112" s="196">
        <v>19.0</v>
      </c>
      <c r="F112" s="196">
        <v>2.0</v>
      </c>
      <c r="G112" s="196">
        <v>2.0</v>
      </c>
      <c r="H112" s="196">
        <v>18.0</v>
      </c>
      <c r="I112" s="196">
        <v>9.45870484923124E-4</v>
      </c>
      <c r="J112" s="196">
        <v>-0.0283477339372772</v>
      </c>
      <c r="K112" s="196">
        <v>6.75143703749134E-4</v>
      </c>
      <c r="L112" s="196">
        <v>0.0230950392950892</v>
      </c>
      <c r="M112" s="196">
        <v>0.00660275967288488</v>
      </c>
      <c r="N112" s="196">
        <v>-0.343847562930859</v>
      </c>
      <c r="O112" s="196">
        <v>0.00901668476882307</v>
      </c>
      <c r="P112" s="196">
        <v>-0.419948476274713</v>
      </c>
    </row>
    <row r="113" ht="15.75" customHeight="1">
      <c r="A113" s="196" t="s">
        <v>290</v>
      </c>
      <c r="B113" s="196" t="str">
        <f t="shared" si="1"/>
        <v>SecondarySchool_Pre1980_2A_74_16_19_2_4_16</v>
      </c>
      <c r="C113" s="196">
        <v>74.0</v>
      </c>
      <c r="D113" s="196">
        <v>16.0</v>
      </c>
      <c r="E113" s="196">
        <v>19.0</v>
      </c>
      <c r="F113" s="196">
        <v>2.0</v>
      </c>
      <c r="G113" s="196">
        <v>4.0</v>
      </c>
      <c r="H113" s="196">
        <v>16.0</v>
      </c>
      <c r="I113" s="196">
        <v>-0.0117532279894502</v>
      </c>
      <c r="J113" s="196">
        <v>0.968664014152978</v>
      </c>
      <c r="K113" s="196">
        <v>0.00269614361633788</v>
      </c>
      <c r="L113" s="196">
        <v>-0.0612413113382032</v>
      </c>
      <c r="M113" s="196">
        <v>-0.0288932444475785</v>
      </c>
      <c r="N113" s="196">
        <v>2.55434166802714</v>
      </c>
      <c r="O113" s="196">
        <v>0.0269425248952522</v>
      </c>
      <c r="P113" s="196">
        <v>-1.4802376161853</v>
      </c>
    </row>
    <row r="114" ht="15.75" customHeight="1">
      <c r="A114" s="196" t="s">
        <v>290</v>
      </c>
      <c r="B114" s="196" t="str">
        <f t="shared" si="1"/>
        <v>SecondarySchool_Pre1980_2A_74_16_19_2_4_17</v>
      </c>
      <c r="C114" s="196">
        <v>74.0</v>
      </c>
      <c r="D114" s="196">
        <v>16.0</v>
      </c>
      <c r="E114" s="196">
        <v>19.0</v>
      </c>
      <c r="F114" s="196">
        <v>2.0</v>
      </c>
      <c r="G114" s="196">
        <v>4.0</v>
      </c>
      <c r="H114" s="196">
        <v>17.0</v>
      </c>
      <c r="I114" s="196">
        <v>-0.0118694796363204</v>
      </c>
      <c r="J114" s="196">
        <v>0.958276980368155</v>
      </c>
      <c r="K114" s="196">
        <v>0.00141320098863749</v>
      </c>
      <c r="L114" s="196">
        <v>0.0324685045121729</v>
      </c>
      <c r="M114" s="196">
        <v>-0.0224446241471298</v>
      </c>
      <c r="N114" s="196">
        <v>1.95882336430558</v>
      </c>
      <c r="O114" s="196">
        <v>0.0195018596692784</v>
      </c>
      <c r="P114" s="196">
        <v>-0.992033844025095</v>
      </c>
    </row>
    <row r="115" ht="15.75" customHeight="1">
      <c r="A115" s="196" t="s">
        <v>290</v>
      </c>
      <c r="B115" s="196" t="str">
        <f t="shared" si="1"/>
        <v>SecondarySchool_Pre1980_2A_74_16_19_2_4_18</v>
      </c>
      <c r="C115" s="196">
        <v>74.0</v>
      </c>
      <c r="D115" s="196">
        <v>16.0</v>
      </c>
      <c r="E115" s="196">
        <v>19.0</v>
      </c>
      <c r="F115" s="196">
        <v>2.0</v>
      </c>
      <c r="G115" s="196">
        <v>4.0</v>
      </c>
      <c r="H115" s="196">
        <v>18.0</v>
      </c>
      <c r="I115" s="196">
        <v>0.0020848196917765</v>
      </c>
      <c r="J115" s="196">
        <v>-0.0678205507185315</v>
      </c>
      <c r="K115" s="196">
        <v>0.00102926100659767</v>
      </c>
      <c r="L115" s="196">
        <v>0.0721070021668045</v>
      </c>
      <c r="M115" s="196">
        <v>0.014000979840661</v>
      </c>
      <c r="N115" s="196">
        <v>-0.735577073875356</v>
      </c>
      <c r="O115" s="196">
        <v>0.0164569436893825</v>
      </c>
      <c r="P115" s="196">
        <v>-0.714375727772809</v>
      </c>
    </row>
    <row r="116" ht="15.75" customHeight="1">
      <c r="A116" s="196" t="s">
        <v>291</v>
      </c>
      <c r="B116" s="196" t="str">
        <f t="shared" si="1"/>
        <v>SecondarySchool_Pre1980_2A_74_16_19_2_6_16</v>
      </c>
      <c r="C116" s="196">
        <v>74.0</v>
      </c>
      <c r="D116" s="196">
        <v>16.0</v>
      </c>
      <c r="E116" s="196">
        <v>19.0</v>
      </c>
      <c r="F116" s="196">
        <v>2.0</v>
      </c>
      <c r="G116" s="196">
        <v>6.0</v>
      </c>
      <c r="H116" s="196">
        <v>16.0</v>
      </c>
      <c r="I116" s="196">
        <v>-0.012093872505404</v>
      </c>
      <c r="J116" s="196">
        <v>1.03687043614378</v>
      </c>
      <c r="K116" s="196">
        <v>0.00473087445415376</v>
      </c>
      <c r="L116" s="196">
        <v>-0.158989259891264</v>
      </c>
      <c r="M116" s="196">
        <v>-0.0256162657970291</v>
      </c>
      <c r="N116" s="196">
        <v>2.48918970416871</v>
      </c>
      <c r="O116" s="196">
        <v>0.0423636861681829</v>
      </c>
      <c r="P116" s="196">
        <v>-2.41933121322866</v>
      </c>
    </row>
    <row r="117" ht="15.75" customHeight="1">
      <c r="A117" s="196" t="s">
        <v>291</v>
      </c>
      <c r="B117" s="196" t="str">
        <f t="shared" si="1"/>
        <v>SecondarySchool_Pre1980_2A_74_16_19_2_6_17</v>
      </c>
      <c r="C117" s="196">
        <v>74.0</v>
      </c>
      <c r="D117" s="196">
        <v>16.0</v>
      </c>
      <c r="E117" s="196">
        <v>19.0</v>
      </c>
      <c r="F117" s="196">
        <v>2.0</v>
      </c>
      <c r="G117" s="196">
        <v>6.0</v>
      </c>
      <c r="H117" s="196">
        <v>17.0</v>
      </c>
      <c r="I117" s="196">
        <v>-0.0117729765698984</v>
      </c>
      <c r="J117" s="196">
        <v>0.98559540778265</v>
      </c>
      <c r="K117" s="196">
        <v>0.00341407655935884</v>
      </c>
      <c r="L117" s="196">
        <v>-0.0655381338334613</v>
      </c>
      <c r="M117" s="196">
        <v>-0.0170799094405698</v>
      </c>
      <c r="N117" s="196">
        <v>1.69067375233422</v>
      </c>
      <c r="O117" s="196">
        <v>0.033759254278752</v>
      </c>
      <c r="P117" s="196">
        <v>-1.88210732292663</v>
      </c>
    </row>
    <row r="118" ht="15.75" customHeight="1">
      <c r="A118" s="196" t="s">
        <v>291</v>
      </c>
      <c r="B118" s="196" t="str">
        <f t="shared" si="1"/>
        <v>SecondarySchool_Pre1980_2A_74_16_19_2_6_18</v>
      </c>
      <c r="C118" s="196">
        <v>74.0</v>
      </c>
      <c r="D118" s="196">
        <v>16.0</v>
      </c>
      <c r="E118" s="196">
        <v>19.0</v>
      </c>
      <c r="F118" s="196">
        <v>2.0</v>
      </c>
      <c r="G118" s="196">
        <v>6.0</v>
      </c>
      <c r="H118" s="196">
        <v>18.0</v>
      </c>
      <c r="I118" s="196">
        <v>0.00516769130368669</v>
      </c>
      <c r="J118" s="196">
        <v>-0.261267371838205</v>
      </c>
      <c r="K118" s="196">
        <v>0.00300575108070659</v>
      </c>
      <c r="L118" s="196">
        <v>-0.0220276891299923</v>
      </c>
      <c r="M118" s="196">
        <v>0.0262001588573404</v>
      </c>
      <c r="N118" s="196">
        <v>-1.51514369268941</v>
      </c>
      <c r="O118" s="196">
        <v>0.0300861205183483</v>
      </c>
      <c r="P118" s="196">
        <v>-1.54447824510875</v>
      </c>
    </row>
    <row r="119" ht="15.75" customHeight="1">
      <c r="A119" s="196" t="s">
        <v>292</v>
      </c>
      <c r="B119" s="196" t="str">
        <f t="shared" si="1"/>
        <v>SecondarySchool_Post1980_2A_74_16_19_0_0_16</v>
      </c>
      <c r="C119" s="196">
        <v>74.0</v>
      </c>
      <c r="D119" s="196">
        <v>16.0</v>
      </c>
      <c r="E119" s="196">
        <v>19.0</v>
      </c>
      <c r="F119" s="196">
        <v>0.0</v>
      </c>
      <c r="G119" s="196">
        <v>0.0</v>
      </c>
      <c r="H119" s="196">
        <v>16.0</v>
      </c>
      <c r="I119" s="196">
        <v>0.0</v>
      </c>
      <c r="J119" s="196">
        <v>0.0</v>
      </c>
      <c r="K119" s="196">
        <v>0.0</v>
      </c>
      <c r="L119" s="196">
        <v>0.0</v>
      </c>
      <c r="M119" s="196">
        <v>0.0</v>
      </c>
      <c r="N119" s="196">
        <v>0.0</v>
      </c>
      <c r="O119" s="196">
        <v>0.0</v>
      </c>
      <c r="P119" s="196">
        <v>0.0</v>
      </c>
    </row>
    <row r="120" ht="15.75" customHeight="1">
      <c r="A120" s="196" t="s">
        <v>292</v>
      </c>
      <c r="B120" s="196" t="str">
        <f t="shared" si="1"/>
        <v>SecondarySchool_Post1980_2A_74_16_19_0_0_17</v>
      </c>
      <c r="C120" s="196">
        <v>74.0</v>
      </c>
      <c r="D120" s="196">
        <v>16.0</v>
      </c>
      <c r="E120" s="196">
        <v>19.0</v>
      </c>
      <c r="F120" s="196">
        <v>0.0</v>
      </c>
      <c r="G120" s="196">
        <v>0.0</v>
      </c>
      <c r="H120" s="196">
        <v>17.0</v>
      </c>
      <c r="I120" s="196">
        <v>0.0</v>
      </c>
      <c r="J120" s="196">
        <v>0.0</v>
      </c>
      <c r="K120" s="196">
        <v>0.0</v>
      </c>
      <c r="L120" s="196">
        <v>0.0</v>
      </c>
      <c r="M120" s="196">
        <v>0.0</v>
      </c>
      <c r="N120" s="196">
        <v>0.0</v>
      </c>
      <c r="O120" s="196">
        <v>0.0</v>
      </c>
      <c r="P120" s="196">
        <v>0.0</v>
      </c>
    </row>
    <row r="121" ht="15.75" customHeight="1">
      <c r="A121" s="196" t="s">
        <v>292</v>
      </c>
      <c r="B121" s="196" t="str">
        <f t="shared" si="1"/>
        <v>SecondarySchool_Post1980_2A_74_16_19_0_0_18</v>
      </c>
      <c r="C121" s="196">
        <v>74.0</v>
      </c>
      <c r="D121" s="196">
        <v>16.0</v>
      </c>
      <c r="E121" s="196">
        <v>19.0</v>
      </c>
      <c r="F121" s="196">
        <v>0.0</v>
      </c>
      <c r="G121" s="196">
        <v>0.0</v>
      </c>
      <c r="H121" s="196">
        <v>18.0</v>
      </c>
      <c r="I121" s="196">
        <v>0.0</v>
      </c>
      <c r="J121" s="196">
        <v>0.0</v>
      </c>
      <c r="K121" s="196">
        <v>0.0</v>
      </c>
      <c r="L121" s="196">
        <v>0.0</v>
      </c>
      <c r="M121" s="196">
        <v>0.0</v>
      </c>
      <c r="N121" s="196">
        <v>0.0</v>
      </c>
      <c r="O121" s="196">
        <v>0.0</v>
      </c>
      <c r="P121" s="196">
        <v>0.0</v>
      </c>
    </row>
    <row r="122" ht="15.75" customHeight="1">
      <c r="A122" s="196" t="s">
        <v>293</v>
      </c>
      <c r="B122" s="196" t="str">
        <f t="shared" si="1"/>
        <v>SecondarySchool_Post1980_2A_74_16_19_0_2_16</v>
      </c>
      <c r="C122" s="196">
        <v>74.0</v>
      </c>
      <c r="D122" s="196">
        <v>16.0</v>
      </c>
      <c r="E122" s="196">
        <v>19.0</v>
      </c>
      <c r="F122" s="196">
        <v>0.0</v>
      </c>
      <c r="G122" s="196">
        <v>2.0</v>
      </c>
      <c r="H122" s="196">
        <v>16.0</v>
      </c>
      <c r="I122" s="196">
        <v>-0.00580695517634148</v>
      </c>
      <c r="J122" s="196">
        <v>0.478728536625712</v>
      </c>
      <c r="K122" s="196">
        <v>9.52062819079565E-4</v>
      </c>
      <c r="L122" s="196">
        <v>-0.0066186072146496</v>
      </c>
      <c r="M122" s="196">
        <v>-0.0133519371251332</v>
      </c>
      <c r="N122" s="196">
        <v>1.19311724977125</v>
      </c>
      <c r="O122" s="196">
        <v>0.00978979274321875</v>
      </c>
      <c r="P122" s="196">
        <v>-0.474472548473748</v>
      </c>
    </row>
    <row r="123" ht="15.75" customHeight="1">
      <c r="A123" s="196" t="s">
        <v>293</v>
      </c>
      <c r="B123" s="196" t="str">
        <f t="shared" si="1"/>
        <v>SecondarySchool_Post1980_2A_74_16_19_0_2_17</v>
      </c>
      <c r="C123" s="196">
        <v>74.0</v>
      </c>
      <c r="D123" s="196">
        <v>16.0</v>
      </c>
      <c r="E123" s="196">
        <v>19.0</v>
      </c>
      <c r="F123" s="196">
        <v>0.0</v>
      </c>
      <c r="G123" s="196">
        <v>2.0</v>
      </c>
      <c r="H123" s="196">
        <v>17.0</v>
      </c>
      <c r="I123" s="196">
        <v>-0.00460683561739276</v>
      </c>
      <c r="J123" s="196">
        <v>0.382983519090581</v>
      </c>
      <c r="K123" s="196">
        <v>6.08716585348013E-4</v>
      </c>
      <c r="L123" s="196">
        <v>0.0211430133487978</v>
      </c>
      <c r="M123" s="196">
        <v>-0.00631542002557026</v>
      </c>
      <c r="N123" s="196">
        <v>0.625340347948195</v>
      </c>
      <c r="O123" s="196">
        <v>0.00879386401187003</v>
      </c>
      <c r="P123" s="196">
        <v>-0.419799256873678</v>
      </c>
    </row>
    <row r="124" ht="15.75" customHeight="1">
      <c r="A124" s="196" t="s">
        <v>293</v>
      </c>
      <c r="B124" s="196" t="str">
        <f t="shared" si="1"/>
        <v>SecondarySchool_Post1980_2A_74_16_19_0_2_18</v>
      </c>
      <c r="C124" s="196">
        <v>74.0</v>
      </c>
      <c r="D124" s="196">
        <v>16.0</v>
      </c>
      <c r="E124" s="196">
        <v>19.0</v>
      </c>
      <c r="F124" s="196">
        <v>0.0</v>
      </c>
      <c r="G124" s="196">
        <v>2.0</v>
      </c>
      <c r="H124" s="196">
        <v>18.0</v>
      </c>
      <c r="I124" s="196">
        <v>0.00158872223011311</v>
      </c>
      <c r="J124" s="196">
        <v>-0.0737136726404042</v>
      </c>
      <c r="K124" s="196">
        <v>4.52699621063184E-4</v>
      </c>
      <c r="L124" s="196">
        <v>0.0383009399756667</v>
      </c>
      <c r="M124" s="196">
        <v>0.00919514433419621</v>
      </c>
      <c r="N124" s="196">
        <v>-0.524867889897558</v>
      </c>
      <c r="O124" s="196">
        <v>0.00761980454580977</v>
      </c>
      <c r="P124" s="196">
        <v>-0.305879188879636</v>
      </c>
    </row>
    <row r="125" ht="15.75" customHeight="1">
      <c r="A125" s="196" t="s">
        <v>294</v>
      </c>
      <c r="B125" s="196" t="str">
        <f t="shared" si="1"/>
        <v>SecondarySchool_Post1980_2A_74_16_19_0_4_16</v>
      </c>
      <c r="C125" s="196">
        <v>74.0</v>
      </c>
      <c r="D125" s="196">
        <v>16.0</v>
      </c>
      <c r="E125" s="196">
        <v>19.0</v>
      </c>
      <c r="F125" s="196">
        <v>0.0</v>
      </c>
      <c r="G125" s="196">
        <v>4.0</v>
      </c>
      <c r="H125" s="196">
        <v>16.0</v>
      </c>
      <c r="I125" s="196">
        <v>-0.00638386722736814</v>
      </c>
      <c r="J125" s="196">
        <v>0.562276339828137</v>
      </c>
      <c r="K125" s="196">
        <v>0.00355838118492769</v>
      </c>
      <c r="L125" s="196">
        <v>-0.158831591938878</v>
      </c>
      <c r="M125" s="196">
        <v>-0.0107848666867271</v>
      </c>
      <c r="N125" s="196">
        <v>1.17009566510088</v>
      </c>
      <c r="O125" s="196">
        <v>0.0269868787135</v>
      </c>
      <c r="P125" s="196">
        <v>-1.58814289142296</v>
      </c>
    </row>
    <row r="126" ht="15.75" customHeight="1">
      <c r="A126" s="196" t="s">
        <v>294</v>
      </c>
      <c r="B126" s="196" t="str">
        <f t="shared" si="1"/>
        <v>SecondarySchool_Post1980_2A_74_16_19_0_4_17</v>
      </c>
      <c r="C126" s="196">
        <v>74.0</v>
      </c>
      <c r="D126" s="196">
        <v>16.0</v>
      </c>
      <c r="E126" s="196">
        <v>19.0</v>
      </c>
      <c r="F126" s="196">
        <v>0.0</v>
      </c>
      <c r="G126" s="196">
        <v>4.0</v>
      </c>
      <c r="H126" s="196">
        <v>17.0</v>
      </c>
      <c r="I126" s="196">
        <v>-0.00440544863184327</v>
      </c>
      <c r="J126" s="196">
        <v>0.403326710599379</v>
      </c>
      <c r="K126" s="196">
        <v>0.00289310032382233</v>
      </c>
      <c r="L126" s="196">
        <v>-0.102617774352419</v>
      </c>
      <c r="M126" s="196">
        <v>-3.04557111024999E-4</v>
      </c>
      <c r="N126" s="196">
        <v>0.312165923601617</v>
      </c>
      <c r="O126" s="196">
        <v>0.0240594721771652</v>
      </c>
      <c r="P126" s="196">
        <v>-1.39553299540524</v>
      </c>
    </row>
    <row r="127" ht="15.75" customHeight="1">
      <c r="A127" s="196" t="s">
        <v>294</v>
      </c>
      <c r="B127" s="196" t="str">
        <f t="shared" si="1"/>
        <v>SecondarySchool_Post1980_2A_74_16_19_0_4_18</v>
      </c>
      <c r="C127" s="196">
        <v>74.0</v>
      </c>
      <c r="D127" s="196">
        <v>16.0</v>
      </c>
      <c r="E127" s="196">
        <v>19.0</v>
      </c>
      <c r="F127" s="196">
        <v>0.0</v>
      </c>
      <c r="G127" s="196">
        <v>4.0</v>
      </c>
      <c r="H127" s="196">
        <v>18.0</v>
      </c>
      <c r="I127" s="196">
        <v>0.00425570964505551</v>
      </c>
      <c r="J127" s="196">
        <v>-0.237178373476449</v>
      </c>
      <c r="K127" s="196">
        <v>0.0026903434315803</v>
      </c>
      <c r="L127" s="196">
        <v>-0.0776524749513064</v>
      </c>
      <c r="M127" s="196">
        <v>0.0202741611423335</v>
      </c>
      <c r="N127" s="196">
        <v>-1.22380061781889</v>
      </c>
      <c r="O127" s="196">
        <v>0.0223653186200821</v>
      </c>
      <c r="P127" s="196">
        <v>-1.22190429531464</v>
      </c>
    </row>
    <row r="128" ht="15.75" customHeight="1">
      <c r="A128" s="196" t="s">
        <v>295</v>
      </c>
      <c r="B128" s="196" t="str">
        <f t="shared" si="1"/>
        <v>SecondarySchool_Post1980_2A_74_16_19_0_6_16</v>
      </c>
      <c r="C128" s="196">
        <v>74.0</v>
      </c>
      <c r="D128" s="196">
        <v>16.0</v>
      </c>
      <c r="E128" s="196">
        <v>19.0</v>
      </c>
      <c r="F128" s="196">
        <v>0.0</v>
      </c>
      <c r="G128" s="196">
        <v>6.0</v>
      </c>
      <c r="H128" s="196">
        <v>16.0</v>
      </c>
      <c r="I128" s="196">
        <v>-0.00315416603910584</v>
      </c>
      <c r="J128" s="196">
        <v>0.346341615890286</v>
      </c>
      <c r="K128" s="196">
        <v>0.00590634418388407</v>
      </c>
      <c r="L128" s="196">
        <v>-0.310292308172403</v>
      </c>
      <c r="M128" s="196">
        <v>0.00259691619420588</v>
      </c>
      <c r="N128" s="196">
        <v>0.27248813895659</v>
      </c>
      <c r="O128" s="196">
        <v>0.0422476652145558</v>
      </c>
      <c r="P128" s="196">
        <v>-2.6353277881192</v>
      </c>
    </row>
    <row r="129" ht="15.75" customHeight="1">
      <c r="A129" s="196" t="s">
        <v>295</v>
      </c>
      <c r="B129" s="196" t="str">
        <f t="shared" si="1"/>
        <v>SecondarySchool_Post1980_2A_74_16_19_0_6_17</v>
      </c>
      <c r="C129" s="196">
        <v>74.0</v>
      </c>
      <c r="D129" s="196">
        <v>16.0</v>
      </c>
      <c r="E129" s="196">
        <v>19.0</v>
      </c>
      <c r="F129" s="196">
        <v>0.0</v>
      </c>
      <c r="G129" s="196">
        <v>6.0</v>
      </c>
      <c r="H129" s="196">
        <v>17.0</v>
      </c>
      <c r="I129" s="196">
        <v>-0.00177064357638287</v>
      </c>
      <c r="J129" s="196">
        <v>0.22619804470356</v>
      </c>
      <c r="K129" s="196">
        <v>0.0056014716287608</v>
      </c>
      <c r="L129" s="196">
        <v>-0.280138534095702</v>
      </c>
      <c r="M129" s="196">
        <v>0.0100771735576318</v>
      </c>
      <c r="N129" s="196">
        <v>-0.389259362155627</v>
      </c>
      <c r="O129" s="196">
        <v>0.0408013796278986</v>
      </c>
      <c r="P129" s="196">
        <v>-2.56906900431766</v>
      </c>
    </row>
    <row r="130" ht="15.75" customHeight="1">
      <c r="A130" s="196" t="s">
        <v>295</v>
      </c>
      <c r="B130" s="196" t="str">
        <f t="shared" si="1"/>
        <v>SecondarySchool_Post1980_2A_74_16_19_0_6_18</v>
      </c>
      <c r="C130" s="196">
        <v>74.0</v>
      </c>
      <c r="D130" s="196">
        <v>16.0</v>
      </c>
      <c r="E130" s="196">
        <v>19.0</v>
      </c>
      <c r="F130" s="196">
        <v>0.0</v>
      </c>
      <c r="G130" s="196">
        <v>6.0</v>
      </c>
      <c r="H130" s="196">
        <v>18.0</v>
      </c>
      <c r="I130" s="196">
        <v>0.00612397562839137</v>
      </c>
      <c r="J130" s="196">
        <v>-0.360586390846079</v>
      </c>
      <c r="K130" s="196">
        <v>0.00529154510352539</v>
      </c>
      <c r="L130" s="196">
        <v>-0.241116885220333</v>
      </c>
      <c r="M130" s="196">
        <v>0.0273868266273373</v>
      </c>
      <c r="N130" s="196">
        <v>-1.69520350178262</v>
      </c>
      <c r="O130" s="196">
        <v>0.0379074288891393</v>
      </c>
      <c r="P130" s="196">
        <v>-2.27591021333788</v>
      </c>
    </row>
    <row r="131" ht="15.75" customHeight="1">
      <c r="A131" s="196" t="s">
        <v>296</v>
      </c>
      <c r="B131" s="196" t="str">
        <f t="shared" si="1"/>
        <v>SecondarySchool_Post1980_2A_74_16_19_2_2_16</v>
      </c>
      <c r="C131" s="196">
        <v>74.0</v>
      </c>
      <c r="D131" s="196">
        <v>16.0</v>
      </c>
      <c r="E131" s="196">
        <v>19.0</v>
      </c>
      <c r="F131" s="196">
        <v>2.0</v>
      </c>
      <c r="G131" s="196">
        <v>2.0</v>
      </c>
      <c r="H131" s="196">
        <v>16.0</v>
      </c>
      <c r="I131" s="196">
        <v>-0.00589937866325028</v>
      </c>
      <c r="J131" s="196">
        <v>0.494086960115874</v>
      </c>
      <c r="K131" s="196">
        <v>0.00147145636642496</v>
      </c>
      <c r="L131" s="196">
        <v>-0.0385111440943165</v>
      </c>
      <c r="M131" s="196">
        <v>-0.0129666185949535</v>
      </c>
      <c r="N131" s="196">
        <v>1.19817713682066</v>
      </c>
      <c r="O131" s="196">
        <v>0.0131640450987304</v>
      </c>
      <c r="P131" s="196">
        <v>-0.699614334163809</v>
      </c>
    </row>
    <row r="132" ht="15.75" customHeight="1">
      <c r="A132" s="196" t="s">
        <v>296</v>
      </c>
      <c r="B132" s="196" t="str">
        <f t="shared" si="1"/>
        <v>SecondarySchool_Post1980_2A_74_16_19_2_2_17</v>
      </c>
      <c r="C132" s="196">
        <v>74.0</v>
      </c>
      <c r="D132" s="196">
        <v>16.0</v>
      </c>
      <c r="E132" s="196">
        <v>19.0</v>
      </c>
      <c r="F132" s="196">
        <v>2.0</v>
      </c>
      <c r="G132" s="196">
        <v>2.0</v>
      </c>
      <c r="H132" s="196">
        <v>17.0</v>
      </c>
      <c r="I132" s="196">
        <v>-0.00494793287274703</v>
      </c>
      <c r="J132" s="196">
        <v>0.411372125719267</v>
      </c>
      <c r="K132" s="196">
        <v>8.67575404635517E-4</v>
      </c>
      <c r="L132" s="196">
        <v>0.00616206372276136</v>
      </c>
      <c r="M132" s="196">
        <v>-0.00696971799731713</v>
      </c>
      <c r="N132" s="196">
        <v>0.684766652383017</v>
      </c>
      <c r="O132" s="196">
        <v>0.0103467909881518</v>
      </c>
      <c r="P132" s="196">
        <v>-0.519882473390334</v>
      </c>
    </row>
    <row r="133" ht="15.75" customHeight="1">
      <c r="A133" s="196" t="s">
        <v>296</v>
      </c>
      <c r="B133" s="196" t="str">
        <f t="shared" si="1"/>
        <v>SecondarySchool_Post1980_2A_74_16_19_2_2_18</v>
      </c>
      <c r="C133" s="196">
        <v>74.0</v>
      </c>
      <c r="D133" s="196">
        <v>16.0</v>
      </c>
      <c r="E133" s="196">
        <v>19.0</v>
      </c>
      <c r="F133" s="196">
        <v>2.0</v>
      </c>
      <c r="G133" s="196">
        <v>2.0</v>
      </c>
      <c r="H133" s="196">
        <v>18.0</v>
      </c>
      <c r="I133" s="196">
        <v>0.0016526338341473</v>
      </c>
      <c r="J133" s="196">
        <v>-0.07605752755014</v>
      </c>
      <c r="K133" s="196">
        <v>7.31580151461969E-4</v>
      </c>
      <c r="L133" s="196">
        <v>0.0213540127429265</v>
      </c>
      <c r="M133" s="196">
        <v>0.00954761401360063</v>
      </c>
      <c r="N133" s="196">
        <v>-0.542981376011189</v>
      </c>
      <c r="O133" s="196">
        <v>0.00905093818343166</v>
      </c>
      <c r="P133" s="196">
        <v>-0.399418505801569</v>
      </c>
    </row>
    <row r="134" ht="15.75" customHeight="1">
      <c r="A134" s="196" t="s">
        <v>297</v>
      </c>
      <c r="B134" s="196" t="str">
        <f t="shared" si="1"/>
        <v>SecondarySchool_Post1980_2A_74_16_19_2_4_16</v>
      </c>
      <c r="C134" s="196">
        <v>74.0</v>
      </c>
      <c r="D134" s="196">
        <v>16.0</v>
      </c>
      <c r="E134" s="196">
        <v>19.0</v>
      </c>
      <c r="F134" s="196">
        <v>2.0</v>
      </c>
      <c r="G134" s="196">
        <v>4.0</v>
      </c>
      <c r="H134" s="196">
        <v>16.0</v>
      </c>
      <c r="I134" s="196">
        <v>-0.00598539986905841</v>
      </c>
      <c r="J134" s="196">
        <v>0.536294654990878</v>
      </c>
      <c r="K134" s="196">
        <v>0.00412981210697036</v>
      </c>
      <c r="L134" s="196">
        <v>-0.200587782948738</v>
      </c>
      <c r="M134" s="196">
        <v>-0.00908784551675838</v>
      </c>
      <c r="N134" s="196">
        <v>1.05852492531595</v>
      </c>
      <c r="O134" s="196">
        <v>0.0303251169256502</v>
      </c>
      <c r="P134" s="196">
        <v>-1.83748793611235</v>
      </c>
    </row>
    <row r="135" ht="15.75" customHeight="1">
      <c r="A135" s="196" t="s">
        <v>297</v>
      </c>
      <c r="B135" s="196" t="str">
        <f t="shared" si="1"/>
        <v>SecondarySchool_Post1980_2A_74_16_19_2_4_17</v>
      </c>
      <c r="C135" s="196">
        <v>74.0</v>
      </c>
      <c r="D135" s="196">
        <v>16.0</v>
      </c>
      <c r="E135" s="196">
        <v>19.0</v>
      </c>
      <c r="F135" s="196">
        <v>2.0</v>
      </c>
      <c r="G135" s="196">
        <v>4.0</v>
      </c>
      <c r="H135" s="196">
        <v>17.0</v>
      </c>
      <c r="I135" s="196">
        <v>-0.00429094622015968</v>
      </c>
      <c r="J135" s="196">
        <v>0.396421961828537</v>
      </c>
      <c r="K135" s="196">
        <v>0.00329939979574898</v>
      </c>
      <c r="L135" s="196">
        <v>-0.132685058271932</v>
      </c>
      <c r="M135" s="196">
        <v>2.40746216985439E-4</v>
      </c>
      <c r="N135" s="196">
        <v>0.277549230857376</v>
      </c>
      <c r="O135" s="196">
        <v>0.0264715171178859</v>
      </c>
      <c r="P135" s="196">
        <v>-1.57774533667121</v>
      </c>
    </row>
    <row r="136" ht="15.75" customHeight="1">
      <c r="A136" s="196" t="s">
        <v>297</v>
      </c>
      <c r="B136" s="196" t="str">
        <f t="shared" si="1"/>
        <v>SecondarySchool_Post1980_2A_74_16_19_2_4_18</v>
      </c>
      <c r="C136" s="196">
        <v>74.0</v>
      </c>
      <c r="D136" s="196">
        <v>16.0</v>
      </c>
      <c r="E136" s="196">
        <v>19.0</v>
      </c>
      <c r="F136" s="196">
        <v>2.0</v>
      </c>
      <c r="G136" s="196">
        <v>4.0</v>
      </c>
      <c r="H136" s="196">
        <v>18.0</v>
      </c>
      <c r="I136" s="196">
        <v>0.00436188460260485</v>
      </c>
      <c r="J136" s="196">
        <v>-0.243919265722211</v>
      </c>
      <c r="K136" s="196">
        <v>0.00303441054816831</v>
      </c>
      <c r="L136" s="196">
        <v>-0.102493084068275</v>
      </c>
      <c r="M136" s="196">
        <v>0.0206787761597155</v>
      </c>
      <c r="N136" s="196">
        <v>-1.24982701524858</v>
      </c>
      <c r="O136" s="196">
        <v>0.0242554602530102</v>
      </c>
      <c r="P136" s="196">
        <v>-1.36234342900325</v>
      </c>
    </row>
    <row r="137" ht="15.75" customHeight="1">
      <c r="A137" s="196" t="s">
        <v>298</v>
      </c>
      <c r="B137" s="196" t="str">
        <f t="shared" si="1"/>
        <v>SecondarySchool_Post1980_2A_74_16_19_2_6_16</v>
      </c>
      <c r="C137" s="196">
        <v>74.0</v>
      </c>
      <c r="D137" s="196">
        <v>16.0</v>
      </c>
      <c r="E137" s="196">
        <v>19.0</v>
      </c>
      <c r="F137" s="196">
        <v>2.0</v>
      </c>
      <c r="G137" s="196">
        <v>6.0</v>
      </c>
      <c r="H137" s="196">
        <v>16.0</v>
      </c>
      <c r="I137" s="196">
        <v>-0.00285777809280374</v>
      </c>
      <c r="J137" s="196">
        <v>0.325610931048897</v>
      </c>
      <c r="K137" s="196">
        <v>0.00608222684653003</v>
      </c>
      <c r="L137" s="196">
        <v>-0.321786127101254</v>
      </c>
      <c r="M137" s="196">
        <v>0.00372679552114826</v>
      </c>
      <c r="N137" s="196">
        <v>0.193662270901632</v>
      </c>
      <c r="O137" s="196">
        <v>0.0433384645772923</v>
      </c>
      <c r="P137" s="196">
        <v>-2.71088656100157</v>
      </c>
    </row>
    <row r="138" ht="15.75" customHeight="1">
      <c r="A138" s="196" t="s">
        <v>298</v>
      </c>
      <c r="B138" s="196" t="str">
        <f t="shared" si="1"/>
        <v>SecondarySchool_Post1980_2A_74_16_19_2_6_17</v>
      </c>
      <c r="C138" s="196">
        <v>74.0</v>
      </c>
      <c r="D138" s="196">
        <v>16.0</v>
      </c>
      <c r="E138" s="196">
        <v>19.0</v>
      </c>
      <c r="F138" s="196">
        <v>2.0</v>
      </c>
      <c r="G138" s="196">
        <v>6.0</v>
      </c>
      <c r="H138" s="196">
        <v>17.0</v>
      </c>
      <c r="I138" s="196">
        <v>-0.00169757737034206</v>
      </c>
      <c r="J138" s="196">
        <v>0.221294970825905</v>
      </c>
      <c r="K138" s="196">
        <v>0.00582511082634026</v>
      </c>
      <c r="L138" s="196">
        <v>-0.296551276657914</v>
      </c>
      <c r="M138" s="196">
        <v>0.0103744938933372</v>
      </c>
      <c r="N138" s="196">
        <v>-0.409331574593527</v>
      </c>
      <c r="O138" s="196">
        <v>0.0419756428959856</v>
      </c>
      <c r="P138" s="196">
        <v>-2.65796148869972</v>
      </c>
    </row>
    <row r="139" ht="15.75" customHeight="1">
      <c r="A139" s="196" t="s">
        <v>298</v>
      </c>
      <c r="B139" s="196" t="str">
        <f t="shared" si="1"/>
        <v>SecondarySchool_Post1980_2A_74_16_19_2_6_18</v>
      </c>
      <c r="C139" s="196">
        <v>74.0</v>
      </c>
      <c r="D139" s="196">
        <v>16.0</v>
      </c>
      <c r="E139" s="196">
        <v>19.0</v>
      </c>
      <c r="F139" s="196">
        <v>2.0</v>
      </c>
      <c r="G139" s="196">
        <v>6.0</v>
      </c>
      <c r="H139" s="196">
        <v>18.0</v>
      </c>
      <c r="I139" s="196">
        <v>0.00616912586624883</v>
      </c>
      <c r="J139" s="196">
        <v>-0.363557369284887</v>
      </c>
      <c r="K139" s="196">
        <v>0.00546949856627386</v>
      </c>
      <c r="L139" s="196">
        <v>-0.254195441338189</v>
      </c>
      <c r="M139" s="196">
        <v>0.0275648572383666</v>
      </c>
      <c r="N139" s="196">
        <v>-1.70698031875717</v>
      </c>
      <c r="O139" s="196">
        <v>0.0389189906784237</v>
      </c>
      <c r="P139" s="196">
        <v>-2.35188706012341</v>
      </c>
    </row>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2016-03-02T00:54:08Z</dcterms:created>
  <dc:creator>Rongxin Yin</dc:creator>
</cp:coreProperties>
</file>